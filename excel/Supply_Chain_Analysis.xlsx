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de33fb2f0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0a33d05501e84f16"/>
    <x:sheet xmlns:r="http://schemas.openxmlformats.org/officeDocument/2006/relationships" name="Monthly_Summary" sheetId="2" r:id="R1fcbec05dcc14f63"/>
    <x:sheet xmlns:r="http://schemas.openxmlformats.org/officeDocument/2006/relationships" name="Region_Summary" sheetId="3" r:id="R29a2d18dfe394c07"/>
    <x:sheet xmlns:r="http://schemas.openxmlformats.org/officeDocument/2006/relationships" name="Supplier_Summary" sheetId="4" r:id="R983fe283f38f409a"/>
    <x:sheet xmlns:r="http://schemas.openxmlformats.org/officeDocument/2006/relationships" name="Warehouse_Summary" sheetId="5" r:id="R7d0e035d725d45a5"/>
    <x:sheet xmlns:r="http://schemas.openxmlformats.org/officeDocument/2006/relationships" name="Carrier_Summary" sheetId="6" r:id="R53254515b88246be"/>
    <x:sheet xmlns:r="http://schemas.openxmlformats.org/officeDocument/2006/relationships" name="Product_Summary" sheetId="7" r:id="R72aee9a8315c424b"/>
    <x:sheet xmlns:r="http://schemas.openxmlformats.org/officeDocument/2006/relationships" name="Product_Dim" sheetId="8" r:id="Re0ee40bda5674020"/>
    <x:sheet xmlns:r="http://schemas.openxmlformats.org/officeDocument/2006/relationships" name="Orders_Sample" sheetId="9" r:id="R8370f92340ff4f3e"/>
    <x:sheet xmlns:r="http://schemas.openxmlformats.org/officeDocument/2006/relationships" name="Exercise_Lookups" sheetId="10" r:id="R5859c2238e2b4e95"/>
    <x:sheet xmlns:r="http://schemas.openxmlformats.org/officeDocument/2006/relationships" name="Sales_Targets" sheetId="11" r:id="Rbbd4f539565a4126"/>
    <x:sheet xmlns:r="http://schemas.openxmlformats.org/officeDocument/2006/relationships" name="Excel_Analysis" sheetId="12" r:id="Rce360bd2c0fe4d3d"/>
    <x:sheet xmlns:r="http://schemas.openxmlformats.org/officeDocument/2006/relationships" name="Excel_Methods" sheetId="13" r:id="R100cc20b90f941da"/>
    <x:sheet xmlns:r="http://schemas.openxmlformats.org/officeDocument/2006/relationships" name="Practice_Filters" sheetId="14" r:id="R30c75318f9ea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&quot;$&quot;#,##0.00"/>
    <x:numFmt numFmtId="202" formatCode="0.00"/>
    <x:numFmt numFmtId="203" formatCode="#,##0"/>
    <x:numFmt numFmtId="204" formatCode="0.0&quot;%&quot;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842"/>
      </x:patternFill>
    </x:fill>
    <x:fill>
      <x:patternFill patternType="solid">
        <x:fgColor rgb="FFD7EEF1"/>
      </x:patternFill>
    </x:fill>
    <x:fill>
      <x:patternFill patternType="solid">
        <x:fgColor rgb="FF087E8B"/>
      </x:patternFill>
    </x:fill>
    <x:fill>
      <x:patternFill patternType="solid">
        <x:fgColor rgb="FFEDF2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3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B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fb292cb1f4f2d" /><Relationship Type="http://schemas.openxmlformats.org/officeDocument/2006/relationships/theme" Target="/xl/theme/theme1.xml" Id="R23e46d32ae20403f" /><Relationship Type="http://schemas.openxmlformats.org/officeDocument/2006/relationships/sharedStrings" Target="/xl/sharedStrings.xml" Id="Rae34cacfcb924a0f" /><Relationship Type="http://schemas.openxmlformats.org/officeDocument/2006/relationships/worksheet" Target="/xl/worksheets/sheet1.xml" Id="R0a33d05501e84f16" /><Relationship Type="http://schemas.openxmlformats.org/officeDocument/2006/relationships/worksheet" Target="/xl/worksheets/sheet2.xml" Id="R1fcbec05dcc14f63" /><Relationship Type="http://schemas.openxmlformats.org/officeDocument/2006/relationships/worksheet" Target="/xl/worksheets/sheet3.xml" Id="R29a2d18dfe394c07" /><Relationship Type="http://schemas.openxmlformats.org/officeDocument/2006/relationships/worksheet" Target="/xl/worksheets/sheet4.xml" Id="R983fe283f38f409a" /><Relationship Type="http://schemas.openxmlformats.org/officeDocument/2006/relationships/worksheet" Target="/xl/worksheets/sheet5.xml" Id="R7d0e035d725d45a5" /><Relationship Type="http://schemas.openxmlformats.org/officeDocument/2006/relationships/worksheet" Target="/xl/worksheets/sheet6.xml" Id="R53254515b88246be" /><Relationship Type="http://schemas.openxmlformats.org/officeDocument/2006/relationships/worksheet" Target="/xl/worksheets/sheet7.xml" Id="R72aee9a8315c424b" /><Relationship Type="http://schemas.openxmlformats.org/officeDocument/2006/relationships/worksheet" Target="/xl/worksheets/sheet8.xml" Id="Re0ee40bda5674020" /><Relationship Type="http://schemas.openxmlformats.org/officeDocument/2006/relationships/worksheet" Target="/xl/worksheets/sheet9.xml" Id="R8370f92340ff4f3e" /><Relationship Type="http://schemas.openxmlformats.org/officeDocument/2006/relationships/worksheet" Target="/xl/worksheets/sheet10.xml" Id="R5859c2238e2b4e95" /><Relationship Type="http://schemas.openxmlformats.org/officeDocument/2006/relationships/worksheet" Target="/xl/worksheets/sheet11.xml" Id="Rbbd4f539565a4126" /><Relationship Type="http://schemas.openxmlformats.org/officeDocument/2006/relationships/worksheet" Target="/xl/worksheets/sheet12.xml" Id="Rce360bd2c0fe4d3d" /><Relationship Type="http://schemas.openxmlformats.org/officeDocument/2006/relationships/worksheet" Target="/xl/worksheets/sheet13.xml" Id="R100cc20b90f941da" /><Relationship Type="http://schemas.openxmlformats.org/officeDocument/2006/relationships/worksheet" Target="/xl/worksheets/sheet14.xml" Id="R30c75318f9ea41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b55eff445d4cba" /><Relationship Type="http://schemas.openxmlformats.org/officeDocument/2006/relationships/chart" Target="/xl/drawings/charts/chart2.xml" Id="R5df642039bee477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Monthly revenue</c:v>
          </c:tx>
          <c:marker>
            <c:symbol val="none"/>
          </c:marker>
          <c:cat>
            <c:strRef>
              <c:f>'Monthly_Summary'!$A$2:$A$25</c:f>
              <c:strCache>
                <c:ptCount val="0"/>
              </c:strCache>
            </c:strRef>
          </c:cat>
          <c:val>
            <c:numRef>
              <c:f>'Monthly_Summary'!$B$2:$B$25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Inventory value</c:v>
          </c:tx>
          <c:marker>
            <c:symbol val="none"/>
          </c:marker>
          <c:cat>
            <c:strRef>
              <c:f>'Monthly_Summary'!$A$2:$A$25</c:f>
              <c:strCache>
                <c:ptCount val="0"/>
              </c:strCache>
            </c:strRef>
          </c:cat>
          <c:val>
            <c:numRef>
              <c:f>'Monthly_Summary'!$J$2:$J$25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b55eff445d4cba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f642039bee477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ummaryTable" displayName="MonthlySummaryTable" ref="A1:M25" headerRowCount="1" totalsRowCount="0" totalsRowShown="0">
  <x:tableColumns count="13">
    <x:tableColumn id="1" name="YearMonth"/>
    <x:tableColumn id="2" name="NetSalesNZD"/>
    <x:tableColumn id="3" name="GrossProfitNZD"/>
    <x:tableColumn id="4" name="COGSNZD"/>
    <x:tableColumn id="5" name="Orders"/>
    <x:tableColumn id="6" name="DeliveredOrders"/>
    <x:tableColumn id="7" name="OTIFOrders"/>
    <x:tableColumn id="8" name="ShippedUnits"/>
    <x:tableColumn id="9" name="BackorderUnits"/>
    <x:tableColumn id="10" name="InventoryValueNZD"/>
    <x:tableColumn id="11" name="StockoutPoints"/>
    <x:tableColumn id="12" name="InventoryPoints"/>
    <x:tableColumn id="13" name="FreightNZ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SummaryTable" displayName="RegionSummaryTable" ref="A1:G6" headerRowCount="1" totalsRowCount="0" totalsRowShown="0">
  <x:tableColumns count="7">
    <x:tableColumn id="1" name="Region"/>
    <x:tableColumn id="2" name="NetSalesNZD"/>
    <x:tableColumn id="3" name="Orders"/>
    <x:tableColumn id="4" name="BackorderUnits"/>
    <x:tableColumn id="5" name="DeliveredOrders"/>
    <x:tableColumn id="6" name="OTIFOrders"/>
    <x:tableColumn id="7" name="OTIF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ummaryTable" displayName="SupplierSummaryTable" ref="A1:G65" headerRowCount="1" totalsRowCount="0" totalsRowShown="0">
  <x:tableColumns count="7">
    <x:tableColumn id="1" name="SupplierID"/>
    <x:tableColumn id="2" name="SupplierName"/>
    <x:tableColumn id="3" name="POLines"/>
    <x:tableColumn id="4" name="ReceivedLines"/>
    <x:tableColumn id="5" name="AvgLeadTimeDays"/>
    <x:tableColumn id="6" name="OnTimeReceiptPct"/>
    <x:tableColumn id="7" name="PurchaseValueNZ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rehouseSummaryTable" displayName="WarehouseSummaryTable" ref="A1:H6" headerRowCount="1" totalsRowCount="0" totalsRowShown="0">
  <x:tableColumns count="8">
    <x:tableColumn id="1" name="WarehouseID"/>
    <x:tableColumn id="2" name="LinesPicked"/>
    <x:tableColumn id="3" name="UnitsPicked"/>
    <x:tableColumn id="4" name="LabourHours"/>
    <x:tableColumn id="5" name="UnitsPerLabourHour"/>
    <x:tableColumn id="6" name="InventoryAccuracyPct"/>
    <x:tableColumn id="7" name="StockCounts"/>
    <x:tableColumn id="8" name="AccurateCou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rrierSummaryTable" displayName="CarrierSummaryTable" ref="A1:G6" headerRowCount="1" totalsRowCount="0" totalsRowShown="0">
  <x:tableColumns count="7">
    <x:tableColumn id="1" name="CarrierID"/>
    <x:tableColumn id="2" name="CarrierName"/>
    <x:tableColumn id="3" name="Shipments"/>
    <x:tableColumn id="4" name="Delivered"/>
    <x:tableColumn id="5" name="FreightNZD"/>
    <x:tableColumn id="6" name="CostPerShipmentNZD"/>
    <x:tableColumn id="7" name="OnTimeP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SummaryTable" displayName="ProductSummaryTable" ref="A1:K481" headerRowCount="1" totalsRowCount="0" totalsRowShown="0">
  <x:tableColumns count="11">
    <x:tableColumn id="1" name="ProductID"/>
    <x:tableColumn id="2" name="Category"/>
    <x:tableColumn id="3" name="SupplierID"/>
    <x:tableColumn id="4" name="SalesNZD"/>
    <x:tableColumn id="5" name="BackorderUnits"/>
    <x:tableColumn id="6" name="BackorderLines"/>
    <x:tableColumn id="7" name="OrderedUnits"/>
    <x:tableColumn id="8" name="InventoryValueNZD"/>
    <x:tableColumn id="9" name="SlowInventoryNZD"/>
    <x:tableColumn id="10" name="ExcessUnits"/>
    <x:tableColumn id="11" name="StockoutWarehou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ductDimensionTable" displayName="ProductDimensionTable" ref="A1:E481" headerRowCount="1" totalsRowCount="0" totalsRowShown="0">
  <x:tableColumns count="5">
    <x:tableColumn id="1" name="ProductID"/>
    <x:tableColumn id="2" name="Material"/>
    <x:tableColumn id="3" name="MaterialDescription"/>
    <x:tableColumn id="4" name="Category"/>
    <x:tableColumn id="5" name="Supplier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rdersSampleTable" displayName="OrdersSampleTable" ref="A1:M451" headerRowCount="1" totalsRowCount="0" totalsRowShown="0">
  <x:tableColumns count="13">
    <x:tableColumn id="1" name="OrderID"/>
    <x:tableColumn id="2" name="OrderDate"/>
    <x:tableColumn id="3" name="RequiredDate"/>
    <x:tableColumn id="4" name="DeliveryDate"/>
    <x:tableColumn id="5" name="Region"/>
    <x:tableColumn id="6" name="OrderStatus"/>
    <x:tableColumn id="7" name="QtyOrdered"/>
    <x:tableColumn id="8" name="QtyShipped"/>
    <x:tableColumn id="9" name="BackorderQty"/>
    <x:tableColumn id="10" name="NetSalesNZD"/>
    <x:tableColumn id="11" name="COGSNZD"/>
    <x:tableColumn id="12" name="LeadDays"/>
    <x:tableColumn id="13" name="OTIFFla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okupExerciseTable" displayName="LookupExerciseTable" ref="A1:I301" headerRowCount="1" totalsRowCount="0" totalsRowShown="0">
  <x:tableColumns count="9">
    <x:tableColumn id="1" name="ProductID"/>
    <x:tableColumn id="2" name="OrderedQty"/>
    <x:tableColumn id="3" name="ShippedQty"/>
    <x:tableColumn id="4" name="UnitPriceNZD"/>
    <x:tableColumn id="5" name="NetSalesNZD"/>
    <x:tableColumn id="6" name="Category_VLOOKUP"/>
    <x:tableColumn id="7" name="Category_INDEXMATCH"/>
    <x:tableColumn id="8" name="SalesRecalc"/>
    <x:tableColumn id="9" name="VarianceNZ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onthlyRegionTargetTable" displayName="MonthlyRegionTargetTable" ref="A1:E121" headerRowCount="1" totalsRowCount="0" totalsRowShown="0">
  <x:tableColumns count="5">
    <x:tableColumn id="1" name="YearMonth"/>
    <x:tableColumn id="2" name="Region"/>
    <x:tableColumn id="3" name="TargetSalesNZD"/>
    <x:tableColumn id="4" name="TargetOTIF"/>
    <x:tableColumn id="5" name="TargetGrossProfitNZ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84ff778e0d49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52d00a614f44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549dc31f6b4d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c13e79188f4c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da7abfa5a546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24e4cd2f9341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fddb50dd4c42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acb772cf8644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851ef3b691b41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4befda2109c4a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346a64f817ab495d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0" hidden="0" customWidth="1"/>
  </x:cols>
  <x:sheetData>
    <x:row r="1" ht="30" customHeight="1">
      <x:c r="A1" s="3" t="str">
        <x:v>END-TO-END SUPPLY CHAIN | EXCEL PERFORMANCE LAB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7" t="str">
        <x:v>Purpose</x:v>
      </x:c>
      <x:c r="B4" t="str">
        <x:v>NZ logistics + inventory analyst portfolio</x:v>
      </x:c>
    </x:row>
    <x:row r="5">
      <x:c r="A5" s="7" t="str">
        <x:v>Scenario</x:v>
      </x:c>
      <x:c r="B5" t="str">
        <x:v>Fictional distribution company — all figures synthetic</x:v>
      </x:c>
    </x:row>
    <x:row r="6">
      <x:c r="A6" s="7" t="str">
        <x:v>Period</x:v>
      </x:c>
      <x:c r="B6" t="str">
        <x:v>2024-10-01 to 2026-09-30</x:v>
      </x:c>
    </x:row>
    <x:row r="7">
      <x:c r="A7" s="7" t="str">
        <x:v>Order lines</x:v>
      </x:c>
      <x:c r="B7" t="str">
        <x:v>153,503 across five regional warehouses</x:v>
      </x:c>
    </x:row>
    <x:row r="8">
      <x:c r="A8" s="7" t="str">
        <x:v>Full dataset</x:v>
      </x:c>
      <x:c r="B8" t="str">
        <x:v>See ../data/raw and ../data/processed CSV files</x:v>
      </x:c>
    </x:row>
    <x:row r="9">
      <x:c r="A9" s="7" t="str">
        <x:v>Where to start</x:v>
      </x:c>
      <x:c r="B9" t="str">
        <x:v>Excel_Analysis &gt; monthly trends &gt; product and supplier drill-down</x:v>
      </x:c>
    </x:row>
    <x:row r="10">
      <x:c r="A10" s="7" t="str">
        <x:v>Power Query</x:v>
      </x:c>
      <x:c r="B10" t="str">
        <x:v>Excel Data &gt; Get Data &gt; From Text/CSV: import RAW files</x:v>
      </x:c>
    </x:row>
    <x:row r="11">
      <x:c r="A11" s="7" t="str">
        <x:v>PivotTable</x:v>
      </x:c>
      <x:c r="B11" t="str">
        <x:v>Select any tabular sheet &gt; Insert &gt; PivotTable</x:v>
      </x:c>
    </x:row>
    <x:row r="12">
      <x:c r="A12" s="7" t="str">
        <x:v>Pivot slicers</x:v>
      </x:c>
      <x:c r="B12" t="str">
        <x:v>Select a PivotTable &gt; PivotTable Analyze &gt; Insert Slicer</x:v>
      </x:c>
    </x:row>
    <x:row r="13">
      <x:c r="A13" s="7" t="str">
        <x:v>Important</x:v>
      </x:c>
      <x:c r="B13" t="str">
        <x:v>Dashboard build and screenshots are design previews; not a .pbix file</x:v>
      </x:c>
    </x:row>
    <x:row r="16">
      <x:c r="A16" s="11" t="str">
        <x:v>EXCEL SKILLS CHECKLIST</x:v>
      </x:c>
      <x:c r="B16" s="11" t="str"/>
    </x:row>
    <x:row r="17">
      <x:c r="A17" t="str">
        <x:v>Tables, filters, sort</x:v>
      </x:c>
      <x:c r="B17" t="str">
        <x:v>Use any preformatted source table</x:v>
      </x:c>
    </x:row>
    <x:row r="18">
      <x:c r="A18" t="str">
        <x:v>SUMIFS / COUNTIFS</x:v>
      </x:c>
      <x:c r="B18" t="str">
        <x:v>Practice on Exercise_Lookups and Orders_Sample</x:v>
      </x:c>
    </x:row>
    <x:row r="19">
      <x:c r="A19" t="str">
        <x:v>VLOOKUP / INDEX MATCH</x:v>
      </x:c>
      <x:c r="B19" t="str">
        <x:v>Exercise_Lookups columns F and G</x:v>
      </x:c>
    </x:row>
    <x:row r="20">
      <x:c r="A20" t="str">
        <x:v>PivotTable / PivotChart</x:v>
      </x:c>
      <x:c r="B20" t="str">
        <x:v>Build from Region_Summary and Product_Summary</x:v>
      </x:c>
    </x:row>
    <x:row r="21">
      <x:c r="A21" t="str">
        <x:v>Slicers</x:v>
      </x:c>
      <x:c r="B21" t="str">
        <x:v>Create a PivotTable from Product_Summary then Insert Slicer &gt; Category</x:v>
      </x:c>
    </x:row>
    <x:row r="22">
      <x:c r="A22" t="str">
        <x:v>Power Query cleanup</x:v>
      </x:c>
      <x:c r="B22" t="str">
        <x:v>Use data/raw; fix invalid dates, currency text, spaces and blanks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7" customHeight="1">
      <x:c r="A1" s="15" t="str">
        <x:v>YearMonth</x:v>
      </x:c>
      <x:c r="B1" s="15" t="str">
        <x:v>NetSalesNZD</x:v>
      </x:c>
      <x:c r="C1" s="15" t="str">
        <x:v>GrossProfitNZD</x:v>
      </x:c>
      <x:c r="D1" s="15" t="str">
        <x:v>COGSNZD</x:v>
      </x:c>
      <x:c r="E1" s="15" t="str">
        <x:v>Orders</x:v>
      </x:c>
      <x:c r="F1" s="15" t="str">
        <x:v>DeliveredOrders</x:v>
      </x:c>
      <x:c r="G1" s="15" t="str">
        <x:v>OTIFOrders</x:v>
      </x:c>
      <x:c r="H1" s="15" t="str">
        <x:v>ShippedUnits</x:v>
      </x:c>
      <x:c r="I1" s="15" t="str">
        <x:v>BackorderUnits</x:v>
      </x:c>
      <x:c r="J1" s="15" t="str">
        <x:v>InventoryValueNZD</x:v>
      </x:c>
      <x:c r="K1" s="15" t="str">
        <x:v>StockoutPoints</x:v>
      </x:c>
      <x:c r="L1" s="15" t="str">
        <x:v>InventoryPoints</x:v>
      </x:c>
      <x:c r="M1" s="15" t="str">
        <x:v>FreightNZD</x:v>
      </x:c>
    </x:row>
    <x:row r="2">
      <x:c r="A2" t="str">
        <x:v>2024-10</x:v>
      </x:c>
      <x:c r="B2" t="n">
        <x:v>9705234.14</x:v>
      </x:c>
      <x:c r="C2" t="n">
        <x:v>2623981.36</x:v>
      </x:c>
      <x:c r="D2" t="n">
        <x:v>7081252.78</x:v>
      </x:c>
      <x:c r="E2" t="n">
        <x:v>2732</x:v>
      </x:c>
      <x:c r="F2" t="n">
        <x:v>2668</x:v>
      </x:c>
      <x:c r="G2" t="n">
        <x:v>2215</x:v>
      </x:c>
      <x:c r="H2" t="n">
        <x:v>92301</x:v>
      </x:c>
      <x:c r="I2" t="n">
        <x:v>5155</x:v>
      </x:c>
      <x:c r="J2" t="n">
        <x:v>44501089.27</x:v>
      </x:c>
      <x:c r="K2" t="n">
        <x:v>18</x:v>
      </x:c>
      <x:c r="L2" t="n">
        <x:v>2400</x:v>
      </x:c>
      <x:c r="M2" t="n">
        <x:v>374833.63</x:v>
      </x:c>
    </x:row>
    <x:row r="3">
      <x:c r="A3" t="str">
        <x:v>2024-11</x:v>
      </x:c>
      <x:c r="B3" t="n">
        <x:v>11928689.96</x:v>
      </x:c>
      <x:c r="C3" t="n">
        <x:v>3234051.21</x:v>
      </x:c>
      <x:c r="D3" t="n">
        <x:v>8694638.75</x:v>
      </x:c>
      <x:c r="E3" t="n">
        <x:v>3501</x:v>
      </x:c>
      <x:c r="F3" t="n">
        <x:v>3390</x:v>
      </x:c>
      <x:c r="G3" t="n">
        <x:v>2500</x:v>
      </x:c>
      <x:c r="H3" t="n">
        <x:v>113361</x:v>
      </x:c>
      <x:c r="I3" t="n">
        <x:v>14180</x:v>
      </x:c>
      <x:c r="J3" t="n">
        <x:v>44199811.24</x:v>
      </x:c>
      <x:c r="K3" t="n">
        <x:v>79</x:v>
      </x:c>
      <x:c r="L3" t="n">
        <x:v>2400</x:v>
      </x:c>
      <x:c r="M3" t="n">
        <x:v>532732.35</x:v>
      </x:c>
    </x:row>
    <x:row r="4">
      <x:c r="A4" t="str">
        <x:v>2024-12</x:v>
      </x:c>
      <x:c r="B4" t="n">
        <x:v>11975094.13</x:v>
      </x:c>
      <x:c r="C4" t="n">
        <x:v>3264085.09</x:v>
      </x:c>
      <x:c r="D4" t="n">
        <x:v>8711009.04</x:v>
      </x:c>
      <x:c r="E4" t="n">
        <x:v>3679</x:v>
      </x:c>
      <x:c r="F4" t="n">
        <x:v>3535</x:v>
      </x:c>
      <x:c r="G4" t="n">
        <x:v>2404</x:v>
      </x:c>
      <x:c r="H4" t="n">
        <x:v>113714</x:v>
      </x:c>
      <x:c r="I4" t="n">
        <x:v>19468</x:v>
      </x:c>
      <x:c r="J4" t="n">
        <x:v>44688759.67</x:v>
      </x:c>
      <x:c r="K4" t="n">
        <x:v>144</x:v>
      </x:c>
      <x:c r="L4" t="n">
        <x:v>2400</x:v>
      </x:c>
      <x:c r="M4" t="n">
        <x:v>547639.23</x:v>
      </x:c>
    </x:row>
    <x:row r="5">
      <x:c r="A5" t="str">
        <x:v>2025-01</x:v>
      </x:c>
      <x:c r="B5" t="n">
        <x:v>8157851.97</x:v>
      </x:c>
      <x:c r="C5" t="n">
        <x:v>2205388.33</x:v>
      </x:c>
      <x:c r="D5" t="n">
        <x:v>5952463.64</x:v>
      </x:c>
      <x:c r="E5" t="n">
        <x:v>2645</x:v>
      </x:c>
      <x:c r="F5" t="n">
        <x:v>2543</x:v>
      </x:c>
      <x:c r="G5" t="n">
        <x:v>1617</x:v>
      </x:c>
      <x:c r="H5" t="n">
        <x:v>79810</x:v>
      </x:c>
      <x:c r="I5" t="n">
        <x:v>15796</x:v>
      </x:c>
      <x:c r="J5" t="n">
        <x:v>47896827.59</x:v>
      </x:c>
      <x:c r="K5" t="n">
        <x:v>164</x:v>
      </x:c>
      <x:c r="L5" t="n">
        <x:v>2400</x:v>
      </x:c>
      <x:c r="M5" t="n">
        <x:v>400897.76</x:v>
      </x:c>
    </x:row>
    <x:row r="6">
      <x:c r="A6" t="str">
        <x:v>2025-02</x:v>
      </x:c>
      <x:c r="B6" t="n">
        <x:v>7483768.94</x:v>
      </x:c>
      <x:c r="C6" t="n">
        <x:v>2030729.09</x:v>
      </x:c>
      <x:c r="D6" t="n">
        <x:v>5453039.85</x:v>
      </x:c>
      <x:c r="E6" t="n">
        <x:v>2432</x:v>
      </x:c>
      <x:c r="F6" t="n">
        <x:v>2322</x:v>
      </x:c>
      <x:c r="G6" t="n">
        <x:v>1518</x:v>
      </x:c>
      <x:c r="H6" t="n">
        <x:v>71737</x:v>
      </x:c>
      <x:c r="I6" t="n">
        <x:v>15183</x:v>
      </x:c>
      <x:c r="J6" t="n">
        <x:v>50580743.6</x:v>
      </x:c>
      <x:c r="K6" t="n">
        <x:v>181</x:v>
      </x:c>
      <x:c r="L6" t="n">
        <x:v>2400</x:v>
      </x:c>
      <x:c r="M6" t="n">
        <x:v>348248.53</x:v>
      </x:c>
    </x:row>
    <x:row r="7">
      <x:c r="A7" t="str">
        <x:v>2025-03</x:v>
      </x:c>
      <x:c r="B7" t="n">
        <x:v>7554398.81</x:v>
      </x:c>
      <x:c r="C7" t="n">
        <x:v>2036276.35</x:v>
      </x:c>
      <x:c r="D7" t="n">
        <x:v>5518122.46</x:v>
      </x:c>
      <x:c r="E7" t="n">
        <x:v>2477</x:v>
      </x:c>
      <x:c r="F7" t="n">
        <x:v>2337</x:v>
      </x:c>
      <x:c r="G7" t="n">
        <x:v>1484</x:v>
      </x:c>
      <x:c r="H7" t="n">
        <x:v>72416</x:v>
      </x:c>
      <x:c r="I7" t="n">
        <x:v>17058</x:v>
      </x:c>
      <x:c r="J7" t="n">
        <x:v>53877835.17</x:v>
      </x:c>
      <x:c r="K7" t="n">
        <x:v>179</x:v>
      </x:c>
      <x:c r="L7" t="n">
        <x:v>2400</x:v>
      </x:c>
      <x:c r="M7" t="n">
        <x:v>374419.56</x:v>
      </x:c>
    </x:row>
    <x:row r="8">
      <x:c r="A8" t="str">
        <x:v>2025-04</x:v>
      </x:c>
      <x:c r="B8" t="n">
        <x:v>8022705.81</x:v>
      </x:c>
      <x:c r="C8" t="n">
        <x:v>2184529.19</x:v>
      </x:c>
      <x:c r="D8" t="n">
        <x:v>5838176.62</x:v>
      </x:c>
      <x:c r="E8" t="n">
        <x:v>2540</x:v>
      </x:c>
      <x:c r="F8" t="n">
        <x:v>2437</x:v>
      </x:c>
      <x:c r="G8" t="n">
        <x:v>1589</x:v>
      </x:c>
      <x:c r="H8" t="n">
        <x:v>76568</x:v>
      </x:c>
      <x:c r="I8" t="n">
        <x:v>15449</x:v>
      </x:c>
      <x:c r="J8" t="n">
        <x:v>56635202.92</x:v>
      </x:c>
      <x:c r="K8" t="n">
        <x:v>196</x:v>
      </x:c>
      <x:c r="L8" t="n">
        <x:v>2400</x:v>
      </x:c>
      <x:c r="M8" t="n">
        <x:v>370212.29</x:v>
      </x:c>
    </x:row>
    <x:row r="9">
      <x:c r="A9" t="str">
        <x:v>2025-05</x:v>
      </x:c>
      <x:c r="B9" t="n">
        <x:v>8108386.72</x:v>
      </x:c>
      <x:c r="C9" t="n">
        <x:v>2198179.78</x:v>
      </x:c>
      <x:c r="D9" t="n">
        <x:v>5910206.94</x:v>
      </x:c>
      <x:c r="E9" t="n">
        <x:v>2626</x:v>
      </x:c>
      <x:c r="F9" t="n">
        <x:v>2492</x:v>
      </x:c>
      <x:c r="G9" t="n">
        <x:v>1588</x:v>
      </x:c>
      <x:c r="H9" t="n">
        <x:v>76769</x:v>
      </x:c>
      <x:c r="I9" t="n">
        <x:v>15714</x:v>
      </x:c>
      <x:c r="J9" t="n">
        <x:v>59885394.49</x:v>
      </x:c>
      <x:c r="K9" t="n">
        <x:v>203</x:v>
      </x:c>
      <x:c r="L9" t="n">
        <x:v>2400</x:v>
      </x:c>
      <x:c r="M9" t="n">
        <x:v>380121.45</x:v>
      </x:c>
    </x:row>
    <x:row r="10">
      <x:c r="A10" t="str">
        <x:v>2025-06</x:v>
      </x:c>
      <x:c r="B10" t="n">
        <x:v>6085696.21</x:v>
      </x:c>
      <x:c r="C10" t="n">
        <x:v>1632319.6</x:v>
      </x:c>
      <x:c r="D10" t="n">
        <x:v>4453376.61</x:v>
      </x:c>
      <x:c r="E10" t="n">
        <x:v>1940</x:v>
      </x:c>
      <x:c r="F10" t="n">
        <x:v>1846</x:v>
      </x:c>
      <x:c r="G10" t="n">
        <x:v>1228</x:v>
      </x:c>
      <x:c r="H10" t="n">
        <x:v>58608</x:v>
      </x:c>
      <x:c r="I10" t="n">
        <x:v>10875</x:v>
      </x:c>
      <x:c r="J10" t="n">
        <x:v>64737758.47</x:v>
      </x:c>
      <x:c r="K10" t="n">
        <x:v>192</x:v>
      </x:c>
      <x:c r="L10" t="n">
        <x:v>2400</x:v>
      </x:c>
      <x:c r="M10" t="n">
        <x:v>292905.36</x:v>
      </x:c>
    </x:row>
    <x:row r="11">
      <x:c r="A11" t="str">
        <x:v>2025-07</x:v>
      </x:c>
      <x:c r="B11" t="n">
        <x:v>6579201.31</x:v>
      </x:c>
      <x:c r="C11" t="n">
        <x:v>1776519.9</x:v>
      </x:c>
      <x:c r="D11" t="n">
        <x:v>4802681.41</x:v>
      </x:c>
      <x:c r="E11" t="n">
        <x:v>2083</x:v>
      </x:c>
      <x:c r="F11" t="n">
        <x:v>1996</x:v>
      </x:c>
      <x:c r="G11" t="n">
        <x:v>1298</x:v>
      </x:c>
      <x:c r="H11" t="n">
        <x:v>63216</x:v>
      </x:c>
      <x:c r="I11" t="n">
        <x:v>12040</x:v>
      </x:c>
      <x:c r="J11" t="n">
        <x:v>68042877.45</x:v>
      </x:c>
      <x:c r="K11" t="n">
        <x:v>174</x:v>
      </x:c>
      <x:c r="L11" t="n">
        <x:v>2400</x:v>
      </x:c>
      <x:c r="M11" t="n">
        <x:v>302190.97</x:v>
      </x:c>
    </x:row>
    <x:row r="12">
      <x:c r="A12" t="str">
        <x:v>2025-08</x:v>
      </x:c>
      <x:c r="B12" t="n">
        <x:v>7969524.17</x:v>
      </x:c>
      <x:c r="C12" t="n">
        <x:v>2153556.5</x:v>
      </x:c>
      <x:c r="D12" t="n">
        <x:v>5815967.67</x:v>
      </x:c>
      <x:c r="E12" t="n">
        <x:v>2532</x:v>
      </x:c>
      <x:c r="F12" t="n">
        <x:v>2441</x:v>
      </x:c>
      <x:c r="G12" t="n">
        <x:v>1619</x:v>
      </x:c>
      <x:c r="H12" t="n">
        <x:v>77094</x:v>
      </x:c>
      <x:c r="I12" t="n">
        <x:v>13939</x:v>
      </x:c>
      <x:c r="J12" t="n">
        <x:v>70649461.47</x:v>
      </x:c>
      <x:c r="K12" t="n">
        <x:v>205</x:v>
      </x:c>
      <x:c r="L12" t="n">
        <x:v>2400</x:v>
      </x:c>
      <x:c r="M12" t="n">
        <x:v>386491.61</x:v>
      </x:c>
    </x:row>
    <x:row r="13">
      <x:c r="A13" t="str">
        <x:v>2025-09</x:v>
      </x:c>
      <x:c r="B13" t="n">
        <x:v>7859077.23</x:v>
      </x:c>
      <x:c r="C13" t="n">
        <x:v>2131236.26</x:v>
      </x:c>
      <x:c r="D13" t="n">
        <x:v>5727840.97</x:v>
      </x:c>
      <x:c r="E13" t="n">
        <x:v>2542</x:v>
      </x:c>
      <x:c r="F13" t="n">
        <x:v>2441</x:v>
      </x:c>
      <x:c r="G13" t="n">
        <x:v>1627</x:v>
      </x:c>
      <x:c r="H13" t="n">
        <x:v>76238</x:v>
      </x:c>
      <x:c r="I13" t="n">
        <x:v>13189</x:v>
      </x:c>
      <x:c r="J13" t="n">
        <x:v>74137677.48</x:v>
      </x:c>
      <x:c r="K13" t="n">
        <x:v>210</x:v>
      </x:c>
      <x:c r="L13" t="n">
        <x:v>2400</x:v>
      </x:c>
      <x:c r="M13" t="n">
        <x:v>364202.97</x:v>
      </x:c>
    </x:row>
    <x:row r="14">
      <x:c r="A14" t="str">
        <x:v>2025-10</x:v>
      </x:c>
      <x:c r="B14" t="n">
        <x:v>8425609.54</x:v>
      </x:c>
      <x:c r="C14" t="n">
        <x:v>2289252.95</x:v>
      </x:c>
      <x:c r="D14" t="n">
        <x:v>6136356.59</x:v>
      </x:c>
      <x:c r="E14" t="n">
        <x:v>2733</x:v>
      </x:c>
      <x:c r="F14" t="n">
        <x:v>2607</x:v>
      </x:c>
      <x:c r="G14" t="n">
        <x:v>1712</x:v>
      </x:c>
      <x:c r="H14" t="n">
        <x:v>80807</x:v>
      </x:c>
      <x:c r="I14" t="n">
        <x:v>15913</x:v>
      </x:c>
      <x:c r="J14" t="n">
        <x:v>77644411.19</x:v>
      </x:c>
      <x:c r="K14" t="n">
        <x:v>217</x:v>
      </x:c>
      <x:c r="L14" t="n">
        <x:v>2400</x:v>
      </x:c>
      <x:c r="M14" t="n">
        <x:v>390217</x:v>
      </x:c>
    </x:row>
    <x:row r="15">
      <x:c r="A15" t="str">
        <x:v>2025-11</x:v>
      </x:c>
      <x:c r="B15" t="n">
        <x:v>10399839.08</x:v>
      </x:c>
      <x:c r="C15" t="n">
        <x:v>2798258.78</x:v>
      </x:c>
      <x:c r="D15" t="n">
        <x:v>7601580.3</x:v>
      </x:c>
      <x:c r="E15" t="n">
        <x:v>3422</x:v>
      </x:c>
      <x:c r="F15" t="n">
        <x:v>3267</x:v>
      </x:c>
      <x:c r="G15" t="n">
        <x:v>2132</x:v>
      </x:c>
      <x:c r="H15" t="n">
        <x:v>100284</x:v>
      </x:c>
      <x:c r="I15" t="n">
        <x:v>21595</x:v>
      </x:c>
      <x:c r="J15" t="n">
        <x:v>78478563.12</x:v>
      </x:c>
      <x:c r="K15" t="n">
        <x:v>252</x:v>
      </x:c>
      <x:c r="L15" t="n">
        <x:v>2400</x:v>
      </x:c>
      <x:c r="M15" t="n">
        <x:v>514759.16</x:v>
      </x:c>
    </x:row>
    <x:row r="16">
      <x:c r="A16" t="str">
        <x:v>2025-12</x:v>
      </x:c>
      <x:c r="B16" t="n">
        <x:v>11285306.04</x:v>
      </x:c>
      <x:c r="C16" t="n">
        <x:v>3073284.71</x:v>
      </x:c>
      <x:c r="D16" t="n">
        <x:v>8212021.33</x:v>
      </x:c>
      <x:c r="E16" t="n">
        <x:v>3676</x:v>
      </x:c>
      <x:c r="F16" t="n">
        <x:v>3469</x:v>
      </x:c>
      <x:c r="G16" t="n">
        <x:v>2065</x:v>
      </x:c>
      <x:c r="H16" t="n">
        <x:v>107491</x:v>
      </x:c>
      <x:c r="I16" t="n">
        <x:v>26157</x:v>
      </x:c>
      <x:c r="J16" t="n">
        <x:v>80042034.87</x:v>
      </x:c>
      <x:c r="K16" t="n">
        <x:v>265</x:v>
      </x:c>
      <x:c r="L16" t="n">
        <x:v>2400</x:v>
      </x:c>
      <x:c r="M16" t="n">
        <x:v>513979.97</x:v>
      </x:c>
    </x:row>
    <x:row r="17">
      <x:c r="A17" t="str">
        <x:v>2026-01</x:v>
      </x:c>
      <x:c r="B17" t="n">
        <x:v>8408679.21</x:v>
      </x:c>
      <x:c r="C17" t="n">
        <x:v>2273666.36</x:v>
      </x:c>
      <x:c r="D17" t="n">
        <x:v>6135012.85</x:v>
      </x:c>
      <x:c r="E17" t="n">
        <x:v>2683</x:v>
      </x:c>
      <x:c r="F17" t="n">
        <x:v>2570</x:v>
      </x:c>
      <x:c r="G17" t="n">
        <x:v>1622</x:v>
      </x:c>
      <x:c r="H17" t="n">
        <x:v>79621</x:v>
      </x:c>
      <x:c r="I17" t="n">
        <x:v>17661</x:v>
      </x:c>
      <x:c r="J17" t="n">
        <x:v>82957040.73</x:v>
      </x:c>
      <x:c r="K17" t="n">
        <x:v>269</x:v>
      </x:c>
      <x:c r="L17" t="n">
        <x:v>2400</x:v>
      </x:c>
      <x:c r="M17" t="n">
        <x:v>415806.21</x:v>
      </x:c>
    </x:row>
    <x:row r="18">
      <x:c r="A18" t="str">
        <x:v>2026-02</x:v>
      </x:c>
      <x:c r="B18" t="n">
        <x:v>7153906.55</x:v>
      </x:c>
      <x:c r="C18" t="n">
        <x:v>1940757.21</x:v>
      </x:c>
      <x:c r="D18" t="n">
        <x:v>5213149.34</x:v>
      </x:c>
      <x:c r="E18" t="n">
        <x:v>2347</x:v>
      </x:c>
      <x:c r="F18" t="n">
        <x:v>2219</x:v>
      </x:c>
      <x:c r="G18" t="n">
        <x:v>1353</x:v>
      </x:c>
      <x:c r="H18" t="n">
        <x:v>68319</x:v>
      </x:c>
      <x:c r="I18" t="n">
        <x:v>17240</x:v>
      </x:c>
      <x:c r="J18" t="n">
        <x:v>85794493.52</x:v>
      </x:c>
      <x:c r="K18" t="n">
        <x:v>274</x:v>
      </x:c>
      <x:c r="L18" t="n">
        <x:v>2400</x:v>
      </x:c>
      <x:c r="M18" t="n">
        <x:v>345056.96</x:v>
      </x:c>
    </x:row>
    <x:row r="19">
      <x:c r="A19" t="str">
        <x:v>2026-03</x:v>
      </x:c>
      <x:c r="B19" t="n">
        <x:v>8150878.6</x:v>
      </x:c>
      <x:c r="C19" t="n">
        <x:v>2208739.89</x:v>
      </x:c>
      <x:c r="D19" t="n">
        <x:v>5942138.71</x:v>
      </x:c>
      <x:c r="E19" t="n">
        <x:v>2668</x:v>
      </x:c>
      <x:c r="F19" t="n">
        <x:v>2530</x:v>
      </x:c>
      <x:c r="G19" t="n">
        <x:v>1558</x:v>
      </x:c>
      <x:c r="H19" t="n">
        <x:v>77607</x:v>
      </x:c>
      <x:c r="I19" t="n">
        <x:v>18124</x:v>
      </x:c>
      <x:c r="J19" t="n">
        <x:v>88979074.78</x:v>
      </x:c>
      <x:c r="K19" t="n">
        <x:v>250</x:v>
      </x:c>
      <x:c r="L19" t="n">
        <x:v>2400</x:v>
      </x:c>
      <x:c r="M19" t="n">
        <x:v>384858.49</x:v>
      </x:c>
    </x:row>
    <x:row r="20">
      <x:c r="A20" t="str">
        <x:v>2026-04</x:v>
      </x:c>
      <x:c r="B20" t="n">
        <x:v>7863964.59</x:v>
      </x:c>
      <x:c r="C20" t="n">
        <x:v>2139700.06</x:v>
      </x:c>
      <x:c r="D20" t="n">
        <x:v>5724264.53</x:v>
      </x:c>
      <x:c r="E20" t="n">
        <x:v>2540</x:v>
      </x:c>
      <x:c r="F20" t="n">
        <x:v>2419</x:v>
      </x:c>
      <x:c r="G20" t="n">
        <x:v>1497</x:v>
      </x:c>
      <x:c r="H20" t="n">
        <x:v>74830</x:v>
      </x:c>
      <x:c r="I20" t="n">
        <x:v>16466</x:v>
      </x:c>
      <x:c r="J20" t="n">
        <x:v>91611283.64</x:v>
      </x:c>
      <x:c r="K20" t="n">
        <x:v>245</x:v>
      </x:c>
      <x:c r="L20" t="n">
        <x:v>2400</x:v>
      </x:c>
      <x:c r="M20" t="n">
        <x:v>365155.45</x:v>
      </x:c>
    </x:row>
    <x:row r="21">
      <x:c r="A21" t="str">
        <x:v>2026-05</x:v>
      </x:c>
      <x:c r="B21" t="n">
        <x:v>8036286.99</x:v>
      </x:c>
      <x:c r="C21" t="n">
        <x:v>2173034.68</x:v>
      </x:c>
      <x:c r="D21" t="n">
        <x:v>5863252.31</x:v>
      </x:c>
      <x:c r="E21" t="n">
        <x:v>2592</x:v>
      </x:c>
      <x:c r="F21" t="n">
        <x:v>2469</x:v>
      </x:c>
      <x:c r="G21" t="n">
        <x:v>1613</x:v>
      </x:c>
      <x:c r="H21" t="n">
        <x:v>77510</x:v>
      </x:c>
      <x:c r="I21" t="n">
        <x:v>16099</x:v>
      </x:c>
      <x:c r="J21" t="n">
        <x:v>94284142.38</x:v>
      </x:c>
      <x:c r="K21" t="n">
        <x:v>255</x:v>
      </x:c>
      <x:c r="L21" t="n">
        <x:v>2400</x:v>
      </x:c>
      <x:c r="M21" t="n">
        <x:v>398721.23</x:v>
      </x:c>
    </x:row>
    <x:row r="22">
      <x:c r="A22" t="str">
        <x:v>2026-06</x:v>
      </x:c>
      <x:c r="B22" t="n">
        <x:v>6024049.43</x:v>
      </x:c>
      <x:c r="C22" t="n">
        <x:v>1623234.8</x:v>
      </x:c>
      <x:c r="D22" t="n">
        <x:v>4400814.63</x:v>
      </x:c>
      <x:c r="E22" t="n">
        <x:v>1924</x:v>
      </x:c>
      <x:c r="F22" t="n">
        <x:v>1829</x:v>
      </x:c>
      <x:c r="G22" t="n">
        <x:v>1230</x:v>
      </x:c>
      <x:c r="H22" t="n">
        <x:v>57689</x:v>
      </x:c>
      <x:c r="I22" t="n">
        <x:v>11492</x:v>
      </x:c>
      <x:c r="J22" t="n">
        <x:v>98170205.87</x:v>
      </x:c>
      <x:c r="K22" t="n">
        <x:v>226</x:v>
      </x:c>
      <x:c r="L22" t="n">
        <x:v>2400</x:v>
      </x:c>
      <x:c r="M22" t="n">
        <x:v>274141.1</x:v>
      </x:c>
    </x:row>
    <x:row r="23">
      <x:c r="A23" t="str">
        <x:v>2026-07</x:v>
      </x:c>
      <x:c r="B23" t="n">
        <x:v>6489334.06</x:v>
      </x:c>
      <x:c r="C23" t="n">
        <x:v>1779404.15</x:v>
      </x:c>
      <x:c r="D23" t="n">
        <x:v>4709929.91</x:v>
      </x:c>
      <x:c r="E23" t="n">
        <x:v>2085</x:v>
      </x:c>
      <x:c r="F23" t="n">
        <x:v>2007</x:v>
      </x:c>
      <x:c r="G23" t="n">
        <x:v>1331</x:v>
      </x:c>
      <x:c r="H23" t="n">
        <x:v>62279</x:v>
      </x:c>
      <x:c r="I23" t="n">
        <x:v>11427</x:v>
      </x:c>
      <x:c r="J23" t="n">
        <x:v>101931870.67</x:v>
      </x:c>
      <x:c r="K23" t="n">
        <x:v>211</x:v>
      </x:c>
      <x:c r="L23" t="n">
        <x:v>2400</x:v>
      </x:c>
      <x:c r="M23" t="n">
        <x:v>305675.03</x:v>
      </x:c>
    </x:row>
    <x:row r="24">
      <x:c r="A24" t="str">
        <x:v>2026-08</x:v>
      </x:c>
      <x:c r="B24" t="n">
        <x:v>7772597.15</x:v>
      </x:c>
      <x:c r="C24" t="n">
        <x:v>2107819.18</x:v>
      </x:c>
      <x:c r="D24" t="n">
        <x:v>5664777.97</x:v>
      </x:c>
      <x:c r="E24" t="n">
        <x:v>2513</x:v>
      </x:c>
      <x:c r="F24" t="n">
        <x:v>2377</x:v>
      </x:c>
      <x:c r="G24" t="n">
        <x:v>1494</x:v>
      </x:c>
      <x:c r="H24" t="n">
        <x:v>74214</x:v>
      </x:c>
      <x:c r="I24" t="n">
        <x:v>16160</x:v>
      </x:c>
      <x:c r="J24" t="n">
        <x:v>105053040.65</x:v>
      </x:c>
      <x:c r="K24" t="n">
        <x:v>240</x:v>
      </x:c>
      <x:c r="L24" t="n">
        <x:v>2400</x:v>
      </x:c>
      <x:c r="M24" t="n">
        <x:v>372778.74</x:v>
      </x:c>
    </x:row>
    <x:row r="25">
      <x:c r="A25" t="str">
        <x:v>2026-09</x:v>
      </x:c>
      <x:c r="B25" t="n">
        <x:v>7181842.84</x:v>
      </x:c>
      <x:c r="C25" t="n">
        <x:v>1965783.42</x:v>
      </x:c>
      <x:c r="D25" t="n">
        <x:v>5216059.42</x:v>
      </x:c>
      <x:c r="E25" t="n">
        <x:v>2588</x:v>
      </x:c>
      <x:c r="F25" t="n">
        <x:v>2025</x:v>
      </x:c>
      <x:c r="G25" t="n">
        <x:v>1310</x:v>
      </x:c>
      <x:c r="H25" t="n">
        <x:v>68257</x:v>
      </x:c>
      <x:c r="I25" t="n">
        <x:v>24433</x:v>
      </x:c>
      <x:c r="J25" t="n">
        <x:v>108194990.59</x:v>
      </x:c>
      <x:c r="K25" t="n">
        <x:v>248</x:v>
      </x:c>
      <x:c r="L25" t="n">
        <x:v>2400</x:v>
      </x:c>
      <x:c r="M25" t="n">
        <x:v>367762.95</x:v>
      </x:c>
    </x:row>
  </x:sheetData>
  <x:pageMargins left="0.7" right="0.7" top="0.75" bottom="0.75" header="0.3" footer="0.3"/>
  <x:tableParts count="1">
    <x:tablePart xmlns:r="http://schemas.openxmlformats.org/officeDocument/2006/relationships" r:id="R9884ff778e0d492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7" customHeight="1">
      <x:c r="A1" s="15" t="str">
        <x:v>Region</x:v>
      </x:c>
      <x:c r="B1" s="15" t="str">
        <x:v>NetSalesNZD</x:v>
      </x:c>
      <x:c r="C1" s="15" t="str">
        <x:v>Orders</x:v>
      </x:c>
      <x:c r="D1" s="15" t="str">
        <x:v>BackorderUnits</x:v>
      </x:c>
      <x:c r="E1" s="15" t="str">
        <x:v>DeliveredOrders</x:v>
      </x:c>
      <x:c r="F1" s="15" t="str">
        <x:v>OTIFOrders</x:v>
      </x:c>
      <x:c r="G1" s="15" t="str">
        <x:v>OTIFPct</x:v>
      </x:c>
    </x:row>
    <x:row r="2">
      <x:c r="A2" t="str">
        <x:v>Auckland</x:v>
      </x:c>
      <x:c r="B2" t="n">
        <x:v>39660072.87</x:v>
      </x:c>
      <x:c r="C2" t="n">
        <x:v>12724</x:v>
      </x:c>
      <x:c r="D2" t="n">
        <x:v>76901</x:v>
      </x:c>
      <x:c r="E2" t="n">
        <x:v>12088</x:v>
      </x:c>
      <x:c r="F2" t="n">
        <x:v>7971</x:v>
      </x:c>
      <x:c r="G2" t="n">
        <x:v>65.94</x:v>
      </x:c>
    </x:row>
    <x:row r="3">
      <x:c r="A3" t="str">
        <x:v>Bay of Plenty</x:v>
      </x:c>
      <x:c r="B3" t="n">
        <x:v>39088246.01</x:v>
      </x:c>
      <x:c r="C3" t="n">
        <x:v>12578</x:v>
      </x:c>
      <x:c r="D3" t="n">
        <x:v>74409</x:v>
      </x:c>
      <x:c r="E3" t="n">
        <x:v>11881</x:v>
      </x:c>
      <x:c r="F3" t="n">
        <x:v>7842</x:v>
      </x:c>
      <x:c r="G3" t="n">
        <x:v>66</x:v>
      </x:c>
    </x:row>
    <x:row r="4">
      <x:c r="A4" t="str">
        <x:v>Canterbury</x:v>
      </x:c>
      <x:c r="B4" t="n">
        <x:v>38984398.66</x:v>
      </x:c>
      <x:c r="C4" t="n">
        <x:v>12427</x:v>
      </x:c>
      <x:c r="D4" t="n">
        <x:v>76030</x:v>
      </x:c>
      <x:c r="E4" t="n">
        <x:v>11796</x:v>
      </x:c>
      <x:c r="F4" t="n">
        <x:v>7646</x:v>
      </x:c>
      <x:c r="G4" t="n">
        <x:v>64.82</x:v>
      </x:c>
    </x:row>
    <x:row r="5">
      <x:c r="A5" t="str">
        <x:v>Waikato</x:v>
      </x:c>
      <x:c r="B5" t="n">
        <x:v>39147254.84</x:v>
      </x:c>
      <x:c r="C5" t="n">
        <x:v>12594</x:v>
      </x:c>
      <x:c r="D5" t="n">
        <x:v>73986</x:v>
      </x:c>
      <x:c r="E5" t="n">
        <x:v>11981</x:v>
      </x:c>
      <x:c r="F5" t="n">
        <x:v>7886</x:v>
      </x:c>
      <x:c r="G5" t="n">
        <x:v>65.82</x:v>
      </x:c>
    </x:row>
    <x:row r="6">
      <x:c r="A6" t="str">
        <x:v>Wellington</x:v>
      </x:c>
      <x:c r="B6" t="n">
        <x:v>41741951.1</x:v>
      </x:c>
      <x:c r="C6" t="n">
        <x:v>13177</x:v>
      </x:c>
      <x:c r="D6" t="n">
        <x:v>79487</x:v>
      </x:c>
      <x:c r="E6" t="n">
        <x:v>12490</x:v>
      </x:c>
      <x:c r="F6" t="n">
        <x:v>8259</x:v>
      </x:c>
      <x:c r="G6" t="n">
        <x:v>66.12</x:v>
      </x:c>
    </x:row>
  </x:sheetData>
  <x:pageMargins left="0.7" right="0.7" top="0.75" bottom="0.75" header="0.3" footer="0.3"/>
  <x:tableParts count="1">
    <x:tablePart xmlns:r="http://schemas.openxmlformats.org/officeDocument/2006/relationships" r:id="Rd552d00a614f444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7" customHeight="1">
      <x:c r="A1" s="15" t="str">
        <x:v>SupplierID</x:v>
      </x:c>
      <x:c r="B1" s="15" t="str">
        <x:v>SupplierName</x:v>
      </x:c>
      <x:c r="C1" s="15" t="str">
        <x:v>POLines</x:v>
      </x:c>
      <x:c r="D1" s="15" t="str">
        <x:v>ReceivedLines</x:v>
      </x:c>
      <x:c r="E1" s="15" t="str">
        <x:v>AvgLeadTimeDays</x:v>
      </x:c>
      <x:c r="F1" s="15" t="str">
        <x:v>OnTimeReceiptPct</x:v>
      </x:c>
      <x:c r="G1" s="15" t="str">
        <x:v>PurchaseValueNZD</x:v>
      </x:c>
    </x:row>
    <x:row r="2">
      <x:c r="A2" t="str">
        <x:v>SUP001</x:v>
      </x:c>
      <x:c r="B2" t="str">
        <x:v>Fictional Supplier 001</x:v>
      </x:c>
      <x:c r="C2" t="n">
        <x:v>516</x:v>
      </x:c>
      <x:c r="D2" t="n">
        <x:v>488</x:v>
      </x:c>
      <x:c r="E2" t="n">
        <x:v>21.31</x:v>
      </x:c>
      <x:c r="F2" t="n">
        <x:v>69.88</x:v>
      </x:c>
      <x:c r="G2" t="n">
        <x:v>4463086.04</x:v>
      </x:c>
    </x:row>
    <x:row r="3">
      <x:c r="A3" t="str">
        <x:v>SUP002</x:v>
      </x:c>
      <x:c r="B3" t="str">
        <x:v>Fictional Supplier 002</x:v>
      </x:c>
      <x:c r="C3" t="n">
        <x:v>443</x:v>
      </x:c>
      <x:c r="D3" t="n">
        <x:v>411</x:v>
      </x:c>
      <x:c r="E3" t="n">
        <x:v>26.36</x:v>
      </x:c>
      <x:c r="F3" t="n">
        <x:v>71.53</x:v>
      </x:c>
      <x:c r="G3" t="n">
        <x:v>2213264.84</x:v>
      </x:c>
    </x:row>
    <x:row r="4">
      <x:c r="A4" t="str">
        <x:v>SUP003</x:v>
      </x:c>
      <x:c r="B4" t="str">
        <x:v>Fictional Supplier 003</x:v>
      </x:c>
      <x:c r="C4" t="n">
        <x:v>472</x:v>
      </x:c>
      <x:c r="D4" t="n">
        <x:v>436</x:v>
      </x:c>
      <x:c r="E4" t="n">
        <x:v>22.9</x:v>
      </x:c>
      <x:c r="F4" t="n">
        <x:v>65.14</x:v>
      </x:c>
      <x:c r="G4" t="n">
        <x:v>2769187.66</x:v>
      </x:c>
    </x:row>
    <x:row r="5">
      <x:c r="A5" t="str">
        <x:v>SUP004</x:v>
      </x:c>
      <x:c r="B5" t="str">
        <x:v>Fictional Supplier 004</x:v>
      </x:c>
      <x:c r="C5" t="n">
        <x:v>462</x:v>
      </x:c>
      <x:c r="D5" t="n">
        <x:v>444</x:v>
      </x:c>
      <x:c r="E5" t="n">
        <x:v>22.71</x:v>
      </x:c>
      <x:c r="F5" t="n">
        <x:v>68.02</x:v>
      </x:c>
      <x:c r="G5" t="n">
        <x:v>1781195.26</x:v>
      </x:c>
    </x:row>
    <x:row r="6">
      <x:c r="A6" t="str">
        <x:v>SUP005</x:v>
      </x:c>
      <x:c r="B6" t="str">
        <x:v>Fictional Supplier 005</x:v>
      </x:c>
      <x:c r="C6" t="n">
        <x:v>521</x:v>
      </x:c>
      <x:c r="D6" t="n">
        <x:v>492</x:v>
      </x:c>
      <x:c r="E6" t="n">
        <x:v>21.41</x:v>
      </x:c>
      <x:c r="F6" t="n">
        <x:v>69.11</x:v>
      </x:c>
      <x:c r="G6" t="n">
        <x:v>4184593.4</x:v>
      </x:c>
    </x:row>
    <x:row r="7">
      <x:c r="A7" t="str">
        <x:v>SUP006</x:v>
      </x:c>
      <x:c r="B7" t="str">
        <x:v>Fictional Supplier 006</x:v>
      </x:c>
      <x:c r="C7" t="n">
        <x:v>500</x:v>
      </x:c>
      <x:c r="D7" t="n">
        <x:v>458</x:v>
      </x:c>
      <x:c r="E7" t="n">
        <x:v>21.52</x:v>
      </x:c>
      <x:c r="F7" t="n">
        <x:v>67.25</x:v>
      </x:c>
      <x:c r="G7" t="n">
        <x:v>2521670.72</x:v>
      </x:c>
    </x:row>
    <x:row r="8">
      <x:c r="A8" t="str">
        <x:v>SUP007</x:v>
      </x:c>
      <x:c r="B8" t="str">
        <x:v>Fictional Supplier 007</x:v>
      </x:c>
      <x:c r="C8" t="n">
        <x:v>521</x:v>
      </x:c>
      <x:c r="D8" t="n">
        <x:v>489</x:v>
      </x:c>
      <x:c r="E8" t="n">
        <x:v>27.41</x:v>
      </x:c>
      <x:c r="F8" t="n">
        <x:v>70.55</x:v>
      </x:c>
      <x:c r="G8" t="n">
        <x:v>4250820.61</x:v>
      </x:c>
    </x:row>
    <x:row r="9">
      <x:c r="A9" t="str">
        <x:v>SUP008</x:v>
      </x:c>
      <x:c r="B9" t="str">
        <x:v>Fictional Supplier 008</x:v>
      </x:c>
      <x:c r="C9" t="n">
        <x:v>532</x:v>
      </x:c>
      <x:c r="D9" t="n">
        <x:v>500</x:v>
      </x:c>
      <x:c r="E9" t="n">
        <x:v>28.89</x:v>
      </x:c>
      <x:c r="F9" t="n">
        <x:v>65.8</x:v>
      </x:c>
      <x:c r="G9" t="n">
        <x:v>3009011.29</x:v>
      </x:c>
    </x:row>
    <x:row r="10">
      <x:c r="A10" t="str">
        <x:v>SUP009</x:v>
      </x:c>
      <x:c r="B10" t="str">
        <x:v>Fictional Supplier 009</x:v>
      </x:c>
      <x:c r="C10" t="n">
        <x:v>468</x:v>
      </x:c>
      <x:c r="D10" t="n">
        <x:v>434</x:v>
      </x:c>
      <x:c r="E10" t="n">
        <x:v>16.71</x:v>
      </x:c>
      <x:c r="F10" t="n">
        <x:v>67.05</x:v>
      </x:c>
      <x:c r="G10" t="n">
        <x:v>4211951.25</x:v>
      </x:c>
    </x:row>
    <x:row r="11">
      <x:c r="A11" t="str">
        <x:v>SUP010</x:v>
      </x:c>
      <x:c r="B11" t="str">
        <x:v>Fictional Supplier 010</x:v>
      </x:c>
      <x:c r="C11" t="n">
        <x:v>546</x:v>
      </x:c>
      <x:c r="D11" t="n">
        <x:v>519</x:v>
      </x:c>
      <x:c r="E11" t="n">
        <x:v>9.63</x:v>
      </x:c>
      <x:c r="F11" t="n">
        <x:v>70.33</x:v>
      </x:c>
      <x:c r="G11" t="n">
        <x:v>4583368.81</x:v>
      </x:c>
    </x:row>
    <x:row r="12">
      <x:c r="A12" t="str">
        <x:v>SUP011</x:v>
      </x:c>
      <x:c r="B12" t="str">
        <x:v>Fictional Supplier 011</x:v>
      </x:c>
      <x:c r="C12" t="n">
        <x:v>516</x:v>
      </x:c>
      <x:c r="D12" t="n">
        <x:v>485</x:v>
      </x:c>
      <x:c r="E12" t="n">
        <x:v>15.31</x:v>
      </x:c>
      <x:c r="F12" t="n">
        <x:v>70.1</x:v>
      </x:c>
      <x:c r="G12" t="n">
        <x:v>4661387.67</x:v>
      </x:c>
    </x:row>
    <x:row r="13">
      <x:c r="A13" t="str">
        <x:v>SUP012</x:v>
      </x:c>
      <x:c r="B13" t="str">
        <x:v>Fictional Supplier 012</x:v>
      </x:c>
      <x:c r="C13" t="n">
        <x:v>463</x:v>
      </x:c>
      <x:c r="D13" t="n">
        <x:v>437</x:v>
      </x:c>
      <x:c r="E13" t="n">
        <x:v>23.52</x:v>
      </x:c>
      <x:c r="F13" t="n">
        <x:v>71.62</x:v>
      </x:c>
      <x:c r="G13" t="n">
        <x:v>3615908.65</x:v>
      </x:c>
    </x:row>
    <x:row r="14">
      <x:c r="A14" t="str">
        <x:v>SUP013</x:v>
      </x:c>
      <x:c r="B14" t="str">
        <x:v>Fictional Supplier 013</x:v>
      </x:c>
      <x:c r="C14" t="n">
        <x:v>490</x:v>
      </x:c>
      <x:c r="D14" t="n">
        <x:v>451</x:v>
      </x:c>
      <x:c r="E14" t="n">
        <x:v>33.71</x:v>
      </x:c>
      <x:c r="F14" t="str">
        <x:v>0.0</x:v>
      </x:c>
      <x:c r="G14" t="n">
        <x:v>1988562.55</x:v>
      </x:c>
    </x:row>
    <x:row r="15">
      <x:c r="A15" t="str">
        <x:v>SUP014</x:v>
      </x:c>
      <x:c r="B15" t="str">
        <x:v>Fictional Supplier 014</x:v>
      </x:c>
      <x:c r="C15" t="n">
        <x:v>499</x:v>
      </x:c>
      <x:c r="D15" t="n">
        <x:v>479</x:v>
      </x:c>
      <x:c r="E15" t="n">
        <x:v>6.23</x:v>
      </x:c>
      <x:c r="F15" t="n">
        <x:v>73.28</x:v>
      </x:c>
      <x:c r="G15" t="n">
        <x:v>3205992.17</x:v>
      </x:c>
    </x:row>
    <x:row r="16">
      <x:c r="A16" t="str">
        <x:v>SUP015</x:v>
      </x:c>
      <x:c r="B16" t="str">
        <x:v>Fictional Supplier 015</x:v>
      </x:c>
      <x:c r="C16" t="n">
        <x:v>486</x:v>
      </x:c>
      <x:c r="D16" t="n">
        <x:v>458</x:v>
      </x:c>
      <x:c r="E16" t="n">
        <x:v>28.6</x:v>
      </x:c>
      <x:c r="F16" t="n">
        <x:v>70.52</x:v>
      </x:c>
      <x:c r="G16" t="n">
        <x:v>3772676.52</x:v>
      </x:c>
    </x:row>
    <x:row r="17">
      <x:c r="A17" t="str">
        <x:v>SUP016</x:v>
      </x:c>
      <x:c r="B17" t="str">
        <x:v>Fictional Supplier 016</x:v>
      </x:c>
      <x:c r="C17" t="n">
        <x:v>539</x:v>
      </x:c>
      <x:c r="D17" t="n">
        <x:v>510</x:v>
      </x:c>
      <x:c r="E17" t="n">
        <x:v>7.47</x:v>
      </x:c>
      <x:c r="F17" t="n">
        <x:v>68.82</x:v>
      </x:c>
      <x:c r="G17" t="n">
        <x:v>4704379.39</x:v>
      </x:c>
    </x:row>
    <x:row r="18">
      <x:c r="A18" t="str">
        <x:v>SUP017</x:v>
      </x:c>
      <x:c r="B18" t="str">
        <x:v>Fictional Supplier 017</x:v>
      </x:c>
      <x:c r="C18" t="n">
        <x:v>520</x:v>
      </x:c>
      <x:c r="D18" t="n">
        <x:v>479</x:v>
      </x:c>
      <x:c r="E18" t="n">
        <x:v>19.59</x:v>
      </x:c>
      <x:c r="F18" t="n">
        <x:v>69.94</x:v>
      </x:c>
      <x:c r="G18" t="n">
        <x:v>2338292.9</x:v>
      </x:c>
    </x:row>
    <x:row r="19">
      <x:c r="A19" t="str">
        <x:v>SUP018</x:v>
      </x:c>
      <x:c r="B19" t="str">
        <x:v>Fictional Supplier 018</x:v>
      </x:c>
      <x:c r="C19" t="n">
        <x:v>458</x:v>
      </x:c>
      <x:c r="D19" t="n">
        <x:v>436</x:v>
      </x:c>
      <x:c r="E19" t="n">
        <x:v>15.69</x:v>
      </x:c>
      <x:c r="F19" t="n">
        <x:v>68.12</x:v>
      </x:c>
      <x:c r="G19" t="n">
        <x:v>2746907.99</x:v>
      </x:c>
    </x:row>
    <x:row r="20">
      <x:c r="A20" t="str">
        <x:v>SUP019</x:v>
      </x:c>
      <x:c r="B20" t="str">
        <x:v>Fictional Supplier 019</x:v>
      </x:c>
      <x:c r="C20" t="n">
        <x:v>502</x:v>
      </x:c>
      <x:c r="D20" t="n">
        <x:v>483</x:v>
      </x:c>
      <x:c r="E20" t="n">
        <x:v>6.88</x:v>
      </x:c>
      <x:c r="F20" t="n">
        <x:v>67.29</x:v>
      </x:c>
      <x:c r="G20" t="n">
        <x:v>2780795.27</x:v>
      </x:c>
    </x:row>
    <x:row r="21">
      <x:c r="A21" t="str">
        <x:v>SUP020</x:v>
      </x:c>
      <x:c r="B21" t="str">
        <x:v>Fictional Supplier 020</x:v>
      </x:c>
      <x:c r="C21" t="n">
        <x:v>477</x:v>
      </x:c>
      <x:c r="D21" t="n">
        <x:v>453</x:v>
      </x:c>
      <x:c r="E21" t="n">
        <x:v>26.07</x:v>
      </x:c>
      <x:c r="F21" t="n">
        <x:v>64.9</x:v>
      </x:c>
      <x:c r="G21" t="n">
        <x:v>4838767.8</x:v>
      </x:c>
    </x:row>
    <x:row r="22">
      <x:c r="A22" t="str">
        <x:v>SUP021</x:v>
      </x:c>
      <x:c r="B22" t="str">
        <x:v>Fictional Supplier 021</x:v>
      </x:c>
      <x:c r="C22" t="n">
        <x:v>512</x:v>
      </x:c>
      <x:c r="D22" t="n">
        <x:v>476</x:v>
      </x:c>
      <x:c r="E22" t="n">
        <x:v>19.65</x:v>
      </x:c>
      <x:c r="F22" t="n">
        <x:v>68.7</x:v>
      </x:c>
      <x:c r="G22" t="n">
        <x:v>3972882.99</x:v>
      </x:c>
    </x:row>
    <x:row r="23">
      <x:c r="A23" t="str">
        <x:v>SUP022</x:v>
      </x:c>
      <x:c r="B23" t="str">
        <x:v>Fictional Supplier 022</x:v>
      </x:c>
      <x:c r="C23" t="n">
        <x:v>437</x:v>
      </x:c>
      <x:c r="D23" t="n">
        <x:v>408</x:v>
      </x:c>
      <x:c r="E23" t="n">
        <x:v>22.72</x:v>
      </x:c>
      <x:c r="F23" t="n">
        <x:v>64.95</x:v>
      </x:c>
      <x:c r="G23" t="n">
        <x:v>3686122.49</x:v>
      </x:c>
    </x:row>
    <x:row r="24">
      <x:c r="A24" t="str">
        <x:v>SUP023</x:v>
      </x:c>
      <x:c r="B24" t="str">
        <x:v>Fictional Supplier 023</x:v>
      </x:c>
      <x:c r="C24" t="n">
        <x:v>526</x:v>
      </x:c>
      <x:c r="D24" t="n">
        <x:v>486</x:v>
      </x:c>
      <x:c r="E24" t="n">
        <x:v>24.74</x:v>
      </x:c>
      <x:c r="F24" t="n">
        <x:v>67.49</x:v>
      </x:c>
      <x:c r="G24" t="n">
        <x:v>3655870.12</x:v>
      </x:c>
    </x:row>
    <x:row r="25">
      <x:c r="A25" t="str">
        <x:v>SUP024</x:v>
      </x:c>
      <x:c r="B25" t="str">
        <x:v>Fictional Supplier 024</x:v>
      </x:c>
      <x:c r="C25" t="n">
        <x:v>442</x:v>
      </x:c>
      <x:c r="D25" t="n">
        <x:v>412</x:v>
      </x:c>
      <x:c r="E25" t="n">
        <x:v>18.85</x:v>
      </x:c>
      <x:c r="F25" t="n">
        <x:v>68.45</x:v>
      </x:c>
      <x:c r="G25" t="n">
        <x:v>2857382.57</x:v>
      </x:c>
    </x:row>
    <x:row r="26">
      <x:c r="A26" t="str">
        <x:v>SUP025</x:v>
      </x:c>
      <x:c r="B26" t="str">
        <x:v>Fictional Supplier 025</x:v>
      </x:c>
      <x:c r="C26" t="n">
        <x:v>475</x:v>
      </x:c>
      <x:c r="D26" t="n">
        <x:v>448</x:v>
      </x:c>
      <x:c r="E26" t="n">
        <x:v>15.56</x:v>
      </x:c>
      <x:c r="F26" t="n">
        <x:v>68.3</x:v>
      </x:c>
      <x:c r="G26" t="n">
        <x:v>3883701.5</x:v>
      </x:c>
    </x:row>
    <x:row r="27">
      <x:c r="A27" t="str">
        <x:v>SUP026</x:v>
      </x:c>
      <x:c r="B27" t="str">
        <x:v>Fictional Supplier 026</x:v>
      </x:c>
      <x:c r="C27" t="n">
        <x:v>519</x:v>
      </x:c>
      <x:c r="D27" t="n">
        <x:v>478</x:v>
      </x:c>
      <x:c r="E27" t="n">
        <x:v>42.46</x:v>
      </x:c>
      <x:c r="F27" t="str">
        <x:v>0.0</x:v>
      </x:c>
      <x:c r="G27" t="n">
        <x:v>4316434.5</x:v>
      </x:c>
    </x:row>
    <x:row r="28">
      <x:c r="A28" t="str">
        <x:v>SUP027</x:v>
      </x:c>
      <x:c r="B28" t="str">
        <x:v>Fictional Supplier 027</x:v>
      </x:c>
      <x:c r="C28" t="n">
        <x:v>497</x:v>
      </x:c>
      <x:c r="D28" t="n">
        <x:v>478</x:v>
      </x:c>
      <x:c r="E28" t="n">
        <x:v>6.68</x:v>
      </x:c>
      <x:c r="F28" t="n">
        <x:v>67.99</x:v>
      </x:c>
      <x:c r="G28" t="n">
        <x:v>4916504.93</x:v>
      </x:c>
    </x:row>
    <x:row r="29">
      <x:c r="A29" t="str">
        <x:v>SUP028</x:v>
      </x:c>
      <x:c r="B29" t="str">
        <x:v>Fictional Supplier 028</x:v>
      </x:c>
      <x:c r="C29" t="n">
        <x:v>499</x:v>
      </x:c>
      <x:c r="D29" t="n">
        <x:v>460</x:v>
      </x:c>
      <x:c r="E29" t="n">
        <x:v>23.52</x:v>
      </x:c>
      <x:c r="F29" t="n">
        <x:v>69.78</x:v>
      </x:c>
      <x:c r="G29" t="n">
        <x:v>2907051.12</x:v>
      </x:c>
    </x:row>
    <x:row r="30">
      <x:c r="A30" t="str">
        <x:v>SUP029</x:v>
      </x:c>
      <x:c r="B30" t="str">
        <x:v>Fictional Supplier 029</x:v>
      </x:c>
      <x:c r="C30" t="n">
        <x:v>508</x:v>
      </x:c>
      <x:c r="D30" t="n">
        <x:v>475</x:v>
      </x:c>
      <x:c r="E30" t="n">
        <x:v>15.26</x:v>
      </x:c>
      <x:c r="F30" t="n">
        <x:v>68.84</x:v>
      </x:c>
      <x:c r="G30" t="n">
        <x:v>3490833.74</x:v>
      </x:c>
    </x:row>
    <x:row r="31">
      <x:c r="A31" t="str">
        <x:v>SUP030</x:v>
      </x:c>
      <x:c r="B31" t="str">
        <x:v>Fictional Supplier 030</x:v>
      </x:c>
      <x:c r="C31" t="n">
        <x:v>446</x:v>
      </x:c>
      <x:c r="D31" t="n">
        <x:v>423</x:v>
      </x:c>
      <x:c r="E31" t="n">
        <x:v>27.65</x:v>
      </x:c>
      <x:c r="F31" t="n">
        <x:v>67.61</x:v>
      </x:c>
      <x:c r="G31" t="n">
        <x:v>4300932.71</x:v>
      </x:c>
    </x:row>
    <x:row r="32">
      <x:c r="A32" t="str">
        <x:v>SUP031</x:v>
      </x:c>
      <x:c r="B32" t="str">
        <x:v>Fictional Supplier 031</x:v>
      </x:c>
      <x:c r="C32" t="n">
        <x:v>483</x:v>
      </x:c>
      <x:c r="D32" t="n">
        <x:v>457</x:v>
      </x:c>
      <x:c r="E32" t="n">
        <x:v>8.61</x:v>
      </x:c>
      <x:c r="F32" t="n">
        <x:v>69.8</x:v>
      </x:c>
      <x:c r="G32" t="n">
        <x:v>3102573.95</x:v>
      </x:c>
    </x:row>
    <x:row r="33">
      <x:c r="A33" t="str">
        <x:v>SUP032</x:v>
      </x:c>
      <x:c r="B33" t="str">
        <x:v>Fictional Supplier 032</x:v>
      </x:c>
      <x:c r="C33" t="n">
        <x:v>509</x:v>
      </x:c>
      <x:c r="D33" t="n">
        <x:v>479</x:v>
      </x:c>
      <x:c r="E33" t="n">
        <x:v>7.24</x:v>
      </x:c>
      <x:c r="F33" t="n">
        <x:v>71.82</x:v>
      </x:c>
      <x:c r="G33" t="n">
        <x:v>3453783.19</x:v>
      </x:c>
    </x:row>
    <x:row r="34">
      <x:c r="A34" t="str">
        <x:v>SUP033</x:v>
      </x:c>
      <x:c r="B34" t="str">
        <x:v>Fictional Supplier 033</x:v>
      </x:c>
      <x:c r="C34" t="n">
        <x:v>536</x:v>
      </x:c>
      <x:c r="D34" t="n">
        <x:v>511</x:v>
      </x:c>
      <x:c r="E34" t="n">
        <x:v>16.65</x:v>
      </x:c>
      <x:c r="F34" t="n">
        <x:v>65.56</x:v>
      </x:c>
      <x:c r="G34" t="n">
        <x:v>2992288.04</x:v>
      </x:c>
    </x:row>
    <x:row r="35">
      <x:c r="A35" t="str">
        <x:v>SUP034</x:v>
      </x:c>
      <x:c r="B35" t="str">
        <x:v>Fictional Supplier 034</x:v>
      </x:c>
      <x:c r="C35" t="n">
        <x:v>479</x:v>
      </x:c>
      <x:c r="D35" t="n">
        <x:v>456</x:v>
      </x:c>
      <x:c r="E35" t="n">
        <x:v>23.4</x:v>
      </x:c>
      <x:c r="F35" t="n">
        <x:v>69.96</x:v>
      </x:c>
      <x:c r="G35" t="n">
        <x:v>2102420.57</x:v>
      </x:c>
    </x:row>
    <x:row r="36">
      <x:c r="A36" t="str">
        <x:v>SUP035</x:v>
      </x:c>
      <x:c r="B36" t="str">
        <x:v>Fictional Supplier 035</x:v>
      </x:c>
      <x:c r="C36" t="n">
        <x:v>490</x:v>
      </x:c>
      <x:c r="D36" t="n">
        <x:v>448</x:v>
      </x:c>
      <x:c r="E36" t="n">
        <x:v>20.64</x:v>
      </x:c>
      <x:c r="F36" t="n">
        <x:v>69.87</x:v>
      </x:c>
      <x:c r="G36" t="n">
        <x:v>3047390.88</x:v>
      </x:c>
    </x:row>
    <x:row r="37">
      <x:c r="A37" t="str">
        <x:v>SUP036</x:v>
      </x:c>
      <x:c r="B37" t="str">
        <x:v>Fictional Supplier 036</x:v>
      </x:c>
      <x:c r="C37" t="n">
        <x:v>527</x:v>
      </x:c>
      <x:c r="D37" t="n">
        <x:v>500</x:v>
      </x:c>
      <x:c r="E37" t="n">
        <x:v>24.45</x:v>
      </x:c>
      <x:c r="F37" t="n">
        <x:v>70</x:v>
      </x:c>
      <x:c r="G37" t="n">
        <x:v>4624370.5</x:v>
      </x:c>
    </x:row>
    <x:row r="38">
      <x:c r="A38" t="str">
        <x:v>SUP037</x:v>
      </x:c>
      <x:c r="B38" t="str">
        <x:v>Fictional Supplier 037</x:v>
      </x:c>
      <x:c r="C38" t="n">
        <x:v>558</x:v>
      </x:c>
      <x:c r="D38" t="n">
        <x:v>517</x:v>
      </x:c>
      <x:c r="E38" t="n">
        <x:v>26.06</x:v>
      </x:c>
      <x:c r="F38" t="n">
        <x:v>65.57</x:v>
      </x:c>
      <x:c r="G38" t="n">
        <x:v>2454961.28</x:v>
      </x:c>
    </x:row>
    <x:row r="39">
      <x:c r="A39" t="str">
        <x:v>SUP038</x:v>
      </x:c>
      <x:c r="B39" t="str">
        <x:v>Fictional Supplier 038</x:v>
      </x:c>
      <x:c r="C39" t="n">
        <x:v>477</x:v>
      </x:c>
      <x:c r="D39" t="n">
        <x:v>451</x:v>
      </x:c>
      <x:c r="E39" t="n">
        <x:v>18.43</x:v>
      </x:c>
      <x:c r="F39" t="n">
        <x:v>68.74</x:v>
      </x:c>
      <x:c r="G39" t="n">
        <x:v>2510012.16</x:v>
      </x:c>
    </x:row>
    <x:row r="40">
      <x:c r="A40" t="str">
        <x:v>SUP039</x:v>
      </x:c>
      <x:c r="B40" t="str">
        <x:v>Fictional Supplier 039</x:v>
      </x:c>
      <x:c r="C40" t="n">
        <x:v>511</x:v>
      </x:c>
      <x:c r="D40" t="n">
        <x:v>459</x:v>
      </x:c>
      <x:c r="E40" t="n">
        <x:v>42.66</x:v>
      </x:c>
      <x:c r="F40" t="str">
        <x:v>0.0</x:v>
      </x:c>
      <x:c r="G40" t="n">
        <x:v>4998291.96</x:v>
      </x:c>
    </x:row>
    <x:row r="41">
      <x:c r="A41" t="str">
        <x:v>SUP040</x:v>
      </x:c>
      <x:c r="B41" t="str">
        <x:v>Fictional Supplier 040</x:v>
      </x:c>
      <x:c r="C41" t="n">
        <x:v>437</x:v>
      </x:c>
      <x:c r="D41" t="n">
        <x:v>406</x:v>
      </x:c>
      <x:c r="E41" t="n">
        <x:v>24.33</x:v>
      </x:c>
      <x:c r="F41" t="n">
        <x:v>69.95</x:v>
      </x:c>
      <x:c r="G41" t="n">
        <x:v>2918865.45</x:v>
      </x:c>
    </x:row>
    <x:row r="42">
      <x:c r="A42" t="str">
        <x:v>SUP041</x:v>
      </x:c>
      <x:c r="B42" t="str">
        <x:v>Fictional Supplier 041</x:v>
      </x:c>
      <x:c r="C42" t="n">
        <x:v>513</x:v>
      </x:c>
      <x:c r="D42" t="n">
        <x:v>482</x:v>
      </x:c>
      <x:c r="E42" t="n">
        <x:v>21.42</x:v>
      </x:c>
      <x:c r="F42" t="n">
        <x:v>70.95</x:v>
      </x:c>
      <x:c r="G42" t="n">
        <x:v>4264385.22</x:v>
      </x:c>
    </x:row>
    <x:row r="43">
      <x:c r="A43" t="str">
        <x:v>SUP042</x:v>
      </x:c>
      <x:c r="B43" t="str">
        <x:v>Fictional Supplier 042</x:v>
      </x:c>
      <x:c r="C43" t="n">
        <x:v>497</x:v>
      </x:c>
      <x:c r="D43" t="n">
        <x:v>480</x:v>
      </x:c>
      <x:c r="E43" t="n">
        <x:v>11.22</x:v>
      </x:c>
      <x:c r="F43" t="n">
        <x:v>70.83</x:v>
      </x:c>
      <x:c r="G43" t="n">
        <x:v>4352455.41</x:v>
      </x:c>
    </x:row>
    <x:row r="44">
      <x:c r="A44" t="str">
        <x:v>SUP043</x:v>
      </x:c>
      <x:c r="B44" t="str">
        <x:v>Fictional Supplier 043</x:v>
      </x:c>
      <x:c r="C44" t="n">
        <x:v>499</x:v>
      </x:c>
      <x:c r="D44" t="n">
        <x:v>483</x:v>
      </x:c>
      <x:c r="E44" t="n">
        <x:v>13.8</x:v>
      </x:c>
      <x:c r="F44" t="n">
        <x:v>67.08</x:v>
      </x:c>
      <x:c r="G44" t="n">
        <x:v>2822835.6</x:v>
      </x:c>
    </x:row>
    <x:row r="45">
      <x:c r="A45" t="str">
        <x:v>SUP044</x:v>
      </x:c>
      <x:c r="B45" t="str">
        <x:v>Fictional Supplier 044</x:v>
      </x:c>
      <x:c r="C45" t="n">
        <x:v>480</x:v>
      </x:c>
      <x:c r="D45" t="n">
        <x:v>450</x:v>
      </x:c>
      <x:c r="E45" t="n">
        <x:v>22.45</x:v>
      </x:c>
      <x:c r="F45" t="n">
        <x:v>70.22</x:v>
      </x:c>
      <x:c r="G45" t="n">
        <x:v>1669353.71</x:v>
      </x:c>
    </x:row>
    <x:row r="46">
      <x:c r="A46" t="str">
        <x:v>SUP045</x:v>
      </x:c>
      <x:c r="B46" t="str">
        <x:v>Fictional Supplier 045</x:v>
      </x:c>
      <x:c r="C46" t="n">
        <x:v>468</x:v>
      </x:c>
      <x:c r="D46" t="n">
        <x:v>433</x:v>
      </x:c>
      <x:c r="E46" t="n">
        <x:v>20.99</x:v>
      </x:c>
      <x:c r="F46" t="n">
        <x:v>71.13</x:v>
      </x:c>
      <x:c r="G46" t="n">
        <x:v>1984293.4</x:v>
      </x:c>
    </x:row>
    <x:row r="47">
      <x:c r="A47" t="str">
        <x:v>SUP046</x:v>
      </x:c>
      <x:c r="B47" t="str">
        <x:v>Fictional Supplier 046</x:v>
      </x:c>
      <x:c r="C47" t="n">
        <x:v>532</x:v>
      </x:c>
      <x:c r="D47" t="n">
        <x:v>497</x:v>
      </x:c>
      <x:c r="E47" t="n">
        <x:v>24.32</x:v>
      </x:c>
      <x:c r="F47" t="n">
        <x:v>71.03</x:v>
      </x:c>
      <x:c r="G47" t="n">
        <x:v>2045918.79</x:v>
      </x:c>
    </x:row>
    <x:row r="48">
      <x:c r="A48" t="str">
        <x:v>SUP047</x:v>
      </x:c>
      <x:c r="B48" t="str">
        <x:v>Fictional Supplier 047</x:v>
      </x:c>
      <x:c r="C48" t="n">
        <x:v>540</x:v>
      </x:c>
      <x:c r="D48" t="n">
        <x:v>514</x:v>
      </x:c>
      <x:c r="E48" t="n">
        <x:v>28.69</x:v>
      </x:c>
      <x:c r="F48" t="n">
        <x:v>67.12</x:v>
      </x:c>
      <x:c r="G48" t="n">
        <x:v>3426273.84</x:v>
      </x:c>
    </x:row>
    <x:row r="49">
      <x:c r="A49" t="str">
        <x:v>SUP048</x:v>
      </x:c>
      <x:c r="B49" t="str">
        <x:v>Fictional Supplier 048</x:v>
      </x:c>
      <x:c r="C49" t="n">
        <x:v>496</x:v>
      </x:c>
      <x:c r="D49" t="n">
        <x:v>479</x:v>
      </x:c>
      <x:c r="E49" t="n">
        <x:v>9.67</x:v>
      </x:c>
      <x:c r="F49" t="n">
        <x:v>67.01</x:v>
      </x:c>
      <x:c r="G49" t="n">
        <x:v>2233983.29</x:v>
      </x:c>
    </x:row>
    <x:row r="50">
      <x:c r="A50" t="str">
        <x:v>SUP049</x:v>
      </x:c>
      <x:c r="B50" t="str">
        <x:v>Fictional Supplier 049</x:v>
      </x:c>
      <x:c r="C50" t="n">
        <x:v>534</x:v>
      </x:c>
      <x:c r="D50" t="n">
        <x:v>483</x:v>
      </x:c>
      <x:c r="E50" t="n">
        <x:v>20.49</x:v>
      </x:c>
      <x:c r="F50" t="n">
        <x:v>67.49</x:v>
      </x:c>
      <x:c r="G50" t="n">
        <x:v>3451106.58</x:v>
      </x:c>
    </x:row>
    <x:row r="51">
      <x:c r="A51" t="str">
        <x:v>SUP050</x:v>
      </x:c>
      <x:c r="B51" t="str">
        <x:v>Fictional Supplier 050</x:v>
      </x:c>
      <x:c r="C51" t="n">
        <x:v>583</x:v>
      </x:c>
      <x:c r="D51" t="n">
        <x:v>544</x:v>
      </x:c>
      <x:c r="E51" t="n">
        <x:v>14.64</x:v>
      </x:c>
      <x:c r="F51" t="n">
        <x:v>68.2</x:v>
      </x:c>
      <x:c r="G51" t="n">
        <x:v>3536178.4</x:v>
      </x:c>
    </x:row>
    <x:row r="52">
      <x:c r="A52" t="str">
        <x:v>SUP051</x:v>
      </x:c>
      <x:c r="B52" t="str">
        <x:v>Fictional Supplier 051</x:v>
      </x:c>
      <x:c r="C52" t="n">
        <x:v>478</x:v>
      </x:c>
      <x:c r="D52" t="n">
        <x:v>452</x:v>
      </x:c>
      <x:c r="E52" t="n">
        <x:v>16.41</x:v>
      </x:c>
      <x:c r="F52" t="n">
        <x:v>69.91</x:v>
      </x:c>
      <x:c r="G52" t="n">
        <x:v>3241522.28</x:v>
      </x:c>
    </x:row>
    <x:row r="53">
      <x:c r="A53" t="str">
        <x:v>SUP052</x:v>
      </x:c>
      <x:c r="B53" t="str">
        <x:v>Fictional Supplier 052</x:v>
      </x:c>
      <x:c r="C53" t="n">
        <x:v>555</x:v>
      </x:c>
      <x:c r="D53" t="n">
        <x:v>500</x:v>
      </x:c>
      <x:c r="E53" t="n">
        <x:v>48.73</x:v>
      </x:c>
      <x:c r="F53" t="str">
        <x:v>0.0</x:v>
      </x:c>
      <x:c r="G53" t="n">
        <x:v>4545637.57</x:v>
      </x:c>
    </x:row>
    <x:row r="54">
      <x:c r="A54" t="str">
        <x:v>SUP053</x:v>
      </x:c>
      <x:c r="B54" t="str">
        <x:v>Fictional Supplier 053</x:v>
      </x:c>
      <x:c r="C54" t="n">
        <x:v>513</x:v>
      </x:c>
      <x:c r="D54" t="n">
        <x:v>481</x:v>
      </x:c>
      <x:c r="E54" t="n">
        <x:v>13.59</x:v>
      </x:c>
      <x:c r="F54" t="n">
        <x:v>69.44</x:v>
      </x:c>
      <x:c r="G54" t="n">
        <x:v>1436129.65</x:v>
      </x:c>
    </x:row>
    <x:row r="55">
      <x:c r="A55" t="str">
        <x:v>SUP054</x:v>
      </x:c>
      <x:c r="B55" t="str">
        <x:v>Fictional Supplier 054</x:v>
      </x:c>
      <x:c r="C55" t="n">
        <x:v>461</x:v>
      </x:c>
      <x:c r="D55" t="n">
        <x:v>429</x:v>
      </x:c>
      <x:c r="E55" t="n">
        <x:v>27.24</x:v>
      </x:c>
      <x:c r="F55" t="n">
        <x:v>73.43</x:v>
      </x:c>
      <x:c r="G55" t="n">
        <x:v>3490373.75</x:v>
      </x:c>
    </x:row>
    <x:row r="56">
      <x:c r="A56" t="str">
        <x:v>SUP055</x:v>
      </x:c>
      <x:c r="B56" t="str">
        <x:v>Fictional Supplier 055</x:v>
      </x:c>
      <x:c r="C56" t="n">
        <x:v>474</x:v>
      </x:c>
      <x:c r="D56" t="n">
        <x:v>444</x:v>
      </x:c>
      <x:c r="E56" t="n">
        <x:v>12.69</x:v>
      </x:c>
      <x:c r="F56" t="n">
        <x:v>68.24</x:v>
      </x:c>
      <x:c r="G56" t="n">
        <x:v>3905270.48</x:v>
      </x:c>
    </x:row>
    <x:row r="57">
      <x:c r="A57" t="str">
        <x:v>SUP056</x:v>
      </x:c>
      <x:c r="B57" t="str">
        <x:v>Fictional Supplier 056</x:v>
      </x:c>
      <x:c r="C57" t="n">
        <x:v>498</x:v>
      </x:c>
      <x:c r="D57" t="n">
        <x:v>470</x:v>
      </x:c>
      <x:c r="E57" t="n">
        <x:v>18.16</x:v>
      </x:c>
      <x:c r="F57" t="n">
        <x:v>71.91</x:v>
      </x:c>
      <x:c r="G57" t="n">
        <x:v>3445219.14</x:v>
      </x:c>
    </x:row>
    <x:row r="58">
      <x:c r="A58" t="str">
        <x:v>SUP057</x:v>
      </x:c>
      <x:c r="B58" t="str">
        <x:v>Fictional Supplier 057</x:v>
      </x:c>
      <x:c r="C58" t="n">
        <x:v>494</x:v>
      </x:c>
      <x:c r="D58" t="n">
        <x:v>474</x:v>
      </x:c>
      <x:c r="E58" t="n">
        <x:v>12.25</x:v>
      </x:c>
      <x:c r="F58" t="n">
        <x:v>73</x:v>
      </x:c>
      <x:c r="G58" t="n">
        <x:v>2789764.97</x:v>
      </x:c>
    </x:row>
    <x:row r="59">
      <x:c r="A59" t="str">
        <x:v>SUP058</x:v>
      </x:c>
      <x:c r="B59" t="str">
        <x:v>Fictional Supplier 058</x:v>
      </x:c>
      <x:c r="C59" t="n">
        <x:v>520</x:v>
      </x:c>
      <x:c r="D59" t="n">
        <x:v>493</x:v>
      </x:c>
      <x:c r="E59" t="n">
        <x:v>16.39</x:v>
      </x:c>
      <x:c r="F59" t="n">
        <x:v>66.73</x:v>
      </x:c>
      <x:c r="G59" t="n">
        <x:v>3444480.74</x:v>
      </x:c>
    </x:row>
    <x:row r="60">
      <x:c r="A60" t="str">
        <x:v>SUP059</x:v>
      </x:c>
      <x:c r="B60" t="str">
        <x:v>Fictional Supplier 059</x:v>
      </x:c>
      <x:c r="C60" t="n">
        <x:v>557</x:v>
      </x:c>
      <x:c r="D60" t="n">
        <x:v>533</x:v>
      </x:c>
      <x:c r="E60" t="n">
        <x:v>11.25</x:v>
      </x:c>
      <x:c r="F60" t="n">
        <x:v>72.42</x:v>
      </x:c>
      <x:c r="G60" t="n">
        <x:v>3691573.11</x:v>
      </x:c>
    </x:row>
    <x:row r="61">
      <x:c r="A61" t="str">
        <x:v>SUP060</x:v>
      </x:c>
      <x:c r="B61" t="str">
        <x:v>Fictional Supplier 060</x:v>
      </x:c>
      <x:c r="C61" t="n">
        <x:v>522</x:v>
      </x:c>
      <x:c r="D61" t="n">
        <x:v>491</x:v>
      </x:c>
      <x:c r="E61" t="n">
        <x:v>24.51</x:v>
      </x:c>
      <x:c r="F61" t="n">
        <x:v>67.82</x:v>
      </x:c>
      <x:c r="G61" t="n">
        <x:v>3425743.65</x:v>
      </x:c>
    </x:row>
    <x:row r="62">
      <x:c r="A62" t="str">
        <x:v>SUP061</x:v>
      </x:c>
      <x:c r="B62" t="str">
        <x:v>Fictional Supplier 061</x:v>
      </x:c>
      <x:c r="C62" t="n">
        <x:v>476</x:v>
      </x:c>
      <x:c r="D62" t="n">
        <x:v>449</x:v>
      </x:c>
      <x:c r="E62" t="n">
        <x:v>24.52</x:v>
      </x:c>
      <x:c r="F62" t="n">
        <x:v>69.04</x:v>
      </x:c>
      <x:c r="G62" t="n">
        <x:v>4203216.13</x:v>
      </x:c>
    </x:row>
    <x:row r="63">
      <x:c r="A63" t="str">
        <x:v>SUP062</x:v>
      </x:c>
      <x:c r="B63" t="str">
        <x:v>Fictional Supplier 062</x:v>
      </x:c>
      <x:c r="C63" t="n">
        <x:v>482</x:v>
      </x:c>
      <x:c r="D63" t="n">
        <x:v>446</x:v>
      </x:c>
      <x:c r="E63" t="n">
        <x:v>22.83</x:v>
      </x:c>
      <x:c r="F63" t="n">
        <x:v>67.26</x:v>
      </x:c>
      <x:c r="G63" t="n">
        <x:v>4989970.36</x:v>
      </x:c>
    </x:row>
    <x:row r="64">
      <x:c r="A64" t="str">
        <x:v>SUP063</x:v>
      </x:c>
      <x:c r="B64" t="str">
        <x:v>Fictional Supplier 063</x:v>
      </x:c>
      <x:c r="C64" t="n">
        <x:v>503</x:v>
      </x:c>
      <x:c r="D64" t="n">
        <x:v>477</x:v>
      </x:c>
      <x:c r="E64" t="n">
        <x:v>10.43</x:v>
      </x:c>
      <x:c r="F64" t="n">
        <x:v>70.86</x:v>
      </x:c>
      <x:c r="G64" t="n">
        <x:v>3759036.84</x:v>
      </x:c>
    </x:row>
    <x:row r="65">
      <x:c r="A65" t="str">
        <x:v>SUP064</x:v>
      </x:c>
      <x:c r="B65" t="str">
        <x:v>Fictional Supplier 064</x:v>
      </x:c>
      <x:c r="C65" t="n">
        <x:v>437</x:v>
      </x:c>
      <x:c r="D65" t="n">
        <x:v>396</x:v>
      </x:c>
      <x:c r="E65" t="n">
        <x:v>24.52</x:v>
      </x:c>
      <x:c r="F65" t="n">
        <x:v>69.44</x:v>
      </x:c>
      <x:c r="G65" t="n">
        <x:v>3568788.35</x:v>
      </x:c>
    </x:row>
  </x:sheetData>
  <x:pageMargins left="0.7" right="0.7" top="0.75" bottom="0.75" header="0.3" footer="0.3"/>
  <x:tableParts count="1">
    <x:tablePart xmlns:r="http://schemas.openxmlformats.org/officeDocument/2006/relationships" r:id="R28549dc31f6b4dd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7" customHeight="1">
      <x:c r="A1" s="15" t="str">
        <x:v>WarehouseID</x:v>
      </x:c>
      <x:c r="B1" s="15" t="str">
        <x:v>LinesPicked</x:v>
      </x:c>
      <x:c r="C1" s="15" t="str">
        <x:v>UnitsPicked</x:v>
      </x:c>
      <x:c r="D1" s="15" t="str">
        <x:v>LabourHours</x:v>
      </x:c>
      <x:c r="E1" s="15" t="str">
        <x:v>UnitsPerLabourHour</x:v>
      </x:c>
      <x:c r="F1" s="15" t="str">
        <x:v>InventoryAccuracyPct</x:v>
      </x:c>
      <x:c r="G1" s="15" t="str">
        <x:v>StockCounts</x:v>
      </x:c>
      <x:c r="H1" s="15" t="str">
        <x:v>AccurateCounts</x:v>
      </x:c>
    </x:row>
    <x:row r="2">
      <x:c r="A2" t="str">
        <x:v>WH01</x:v>
      </x:c>
      <x:c r="B2" t="n">
        <x:v>45004</x:v>
      </x:c>
      <x:c r="C2" t="n">
        <x:v>638458</x:v>
      </x:c>
      <x:c r="D2" t="n">
        <x:v>14332.55</x:v>
      </x:c>
      <x:c r="E2" t="n">
        <x:v>44.55</x:v>
      </x:c>
      <x:c r="F2" t="n">
        <x:v>90.88</x:v>
      </x:c>
      <x:c r="G2" t="n">
        <x:v>2489</x:v>
      </x:c>
      <x:c r="H2" t="n">
        <x:v>2262</x:v>
      </x:c>
    </x:row>
    <x:row r="3">
      <x:c r="A3" t="str">
        <x:v>WH02</x:v>
      </x:c>
      <x:c r="B3" t="n">
        <x:v>26480</x:v>
      </x:c>
      <x:c r="C3" t="n">
        <x:v>373316</x:v>
      </x:c>
      <x:c r="D3" t="n">
        <x:v>12606.43</x:v>
      </x:c>
      <x:c r="E3" t="n">
        <x:v>29.61</x:v>
      </x:c>
      <x:c r="F3" t="n">
        <x:v>90.34</x:v>
      </x:c>
      <x:c r="G3" t="n">
        <x:v>2527</x:v>
      </x:c>
      <x:c r="H3" t="n">
        <x:v>2283</x:v>
      </x:c>
    </x:row>
    <x:row r="4">
      <x:c r="A4" t="str">
        <x:v>WH03</x:v>
      </x:c>
      <x:c r="B4" t="n">
        <x:v>16684</x:v>
      </x:c>
      <x:c r="C4" t="n">
        <x:v>265661</x:v>
      </x:c>
      <x:c r="D4" t="n">
        <x:v>12069.87</x:v>
      </x:c>
      <x:c r="E4" t="n">
        <x:v>22.01</x:v>
      </x:c>
      <x:c r="F4" t="n">
        <x:v>91.03</x:v>
      </x:c>
      <x:c r="G4" t="n">
        <x:v>2619</x:v>
      </x:c>
      <x:c r="H4" t="n">
        <x:v>2384</x:v>
      </x:c>
    </x:row>
    <x:row r="5">
      <x:c r="A5" t="str">
        <x:v>WH04</x:v>
      </x:c>
      <x:c r="B5" t="n">
        <x:v>22935</x:v>
      </x:c>
      <x:c r="C5" t="n">
        <x:v>323622</x:v>
      </x:c>
      <x:c r="D5" t="n">
        <x:v>11815.7</x:v>
      </x:c>
      <x:c r="E5" t="n">
        <x:v>27.39</x:v>
      </x:c>
      <x:c r="F5" t="n">
        <x:v>89.81</x:v>
      </x:c>
      <x:c r="G5" t="n">
        <x:v>2571</x:v>
      </x:c>
      <x:c r="H5" t="n">
        <x:v>2309</x:v>
      </x:c>
    </x:row>
    <x:row r="6">
      <x:c r="A6" t="str">
        <x:v>WH05</x:v>
      </x:c>
      <x:c r="B6" t="n">
        <x:v>21316</x:v>
      </x:c>
      <x:c r="C6" t="n">
        <x:v>299683</x:v>
      </x:c>
      <x:c r="D6" t="n">
        <x:v>11874.82</x:v>
      </x:c>
      <x:c r="E6" t="n">
        <x:v>25.24</x:v>
      </x:c>
      <x:c r="F6" t="n">
        <x:v>90.58</x:v>
      </x:c>
      <x:c r="G6" t="n">
        <x:v>2569</x:v>
      </x:c>
      <x:c r="H6" t="n">
        <x:v>2327</x:v>
      </x:c>
    </x:row>
  </x:sheetData>
  <x:pageMargins left="0.7" right="0.7" top="0.75" bottom="0.75" header="0.3" footer="0.3"/>
  <x:tableParts count="1">
    <x:tablePart xmlns:r="http://schemas.openxmlformats.org/officeDocument/2006/relationships" r:id="R19c13e79188f4cc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7" customHeight="1">
      <x:c r="A1" s="15" t="str">
        <x:v>CarrierID</x:v>
      </x:c>
      <x:c r="B1" s="15" t="str">
        <x:v>CarrierName</x:v>
      </x:c>
      <x:c r="C1" s="15" t="str">
        <x:v>Shipments</x:v>
      </x:c>
      <x:c r="D1" s="15" t="str">
        <x:v>Delivered</x:v>
      </x:c>
      <x:c r="E1" s="15" t="str">
        <x:v>FreightNZD</x:v>
      </x:c>
      <x:c r="F1" s="15" t="str">
        <x:v>CostPerShipmentNZD</x:v>
      </x:c>
      <x:c r="G1" s="15" t="str">
        <x:v>OnTimePct</x:v>
      </x:c>
    </x:row>
    <x:row r="2">
      <x:c r="A2" t="str">
        <x:v>CR01</x:v>
      </x:c>
      <x:c r="B2" t="str">
        <x:v>Southern Road Freight</x:v>
      </x:c>
      <x:c r="C2" t="n">
        <x:v>19286</x:v>
      </x:c>
      <x:c r="D2" t="n">
        <x:v>19234</x:v>
      </x:c>
      <x:c r="E2" t="n">
        <x:v>2598450.37</x:v>
      </x:c>
      <x:c r="F2" t="n">
        <x:v>134.73</x:v>
      </x:c>
      <x:c r="G2" t="n">
        <x:v>91.63</x:v>
      </x:c>
    </x:row>
    <x:row r="3">
      <x:c r="A3" t="str">
        <x:v>CR02</x:v>
      </x:c>
      <x:c r="B3" t="str">
        <x:v>Metro Express</x:v>
      </x:c>
      <x:c r="C3" t="n">
        <x:v>14734</x:v>
      </x:c>
      <x:c r="D3" t="n">
        <x:v>14681</x:v>
      </x:c>
      <x:c r="E3" t="n">
        <x:v>2422932.1</x:v>
      </x:c>
      <x:c r="F3" t="n">
        <x:v>164.44</x:v>
      </x:c>
      <x:c r="G3" t="n">
        <x:v>91.59</x:v>
      </x:c>
    </x:row>
    <x:row r="4">
      <x:c r="A4" t="str">
        <x:v>CR03</x:v>
      </x:c>
      <x:c r="B4" t="str">
        <x:v>Coastline Transport</x:v>
      </x:c>
      <x:c r="C4" t="n">
        <x:v>13771</x:v>
      </x:c>
      <x:c r="D4" t="n">
        <x:v>13719</x:v>
      </x:c>
      <x:c r="E4" t="n">
        <x:v>1631344.25</x:v>
      </x:c>
      <x:c r="F4" t="n">
        <x:v>118.46</x:v>
      </x:c>
      <x:c r="G4" t="n">
        <x:v>83.01</x:v>
      </x:c>
    </x:row>
    <x:row r="5">
      <x:c r="A5" t="str">
        <x:v>CR04</x:v>
      </x:c>
      <x:c r="B5" t="str">
        <x:v>Priority Freight NZ</x:v>
      </x:c>
      <x:c r="C5" t="n">
        <x:v>3573</x:v>
      </x:c>
      <x:c r="D5" t="n">
        <x:v>3562</x:v>
      </x:c>
      <x:c r="E5" t="n">
        <x:v>1082492.77</x:v>
      </x:c>
      <x:c r="F5" t="n">
        <x:v>302.96</x:v>
      </x:c>
      <x:c r="G5" t="n">
        <x:v>96.83</x:v>
      </x:c>
    </x:row>
    <x:row r="6">
      <x:c r="A6" t="str">
        <x:v>CR05</x:v>
      </x:c>
      <x:c r="B6" t="str">
        <x:v>Interisland Logistics</x:v>
      </x:c>
      <x:c r="C6" t="n">
        <x:v>9074</x:v>
      </x:c>
      <x:c r="D6" t="n">
        <x:v>9040</x:v>
      </x:c>
      <x:c r="E6" t="n">
        <x:v>1588588.51</x:v>
      </x:c>
      <x:c r="F6" t="n">
        <x:v>175.07</x:v>
      </x:c>
      <x:c r="G6" t="n">
        <x:v>83.13</x:v>
      </x:c>
    </x:row>
  </x:sheetData>
  <x:pageMargins left="0.7" right="0.7" top="0.75" bottom="0.75" header="0.3" footer="0.3"/>
  <x:tableParts count="1">
    <x:tablePart xmlns:r="http://schemas.openxmlformats.org/officeDocument/2006/relationships" r:id="R68da7abfa5a5463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7" customHeight="1">
      <x:c r="A1" s="15" t="str">
        <x:v>ProductID</x:v>
      </x:c>
      <x:c r="B1" s="15" t="str">
        <x:v>Category</x:v>
      </x:c>
      <x:c r="C1" s="15" t="str">
        <x:v>SupplierID</x:v>
      </x:c>
      <x:c r="D1" s="15" t="str">
        <x:v>SalesNZD</x:v>
      </x:c>
      <x:c r="E1" s="15" t="str">
        <x:v>BackorderUnits</x:v>
      </x:c>
      <x:c r="F1" s="15" t="str">
        <x:v>BackorderLines</x:v>
      </x:c>
      <x:c r="G1" s="15" t="str">
        <x:v>OrderedUnits</x:v>
      </x:c>
      <x:c r="H1" s="15" t="str">
        <x:v>InventoryValueNZD</x:v>
      </x:c>
      <x:c r="I1" s="15" t="str">
        <x:v>SlowInventoryNZD</x:v>
      </x:c>
      <x:c r="J1" s="15" t="str">
        <x:v>ExcessUnits</x:v>
      </x:c>
      <x:c r="K1" s="15" t="str">
        <x:v>StockoutWarehouses</x:v>
      </x:c>
    </x:row>
    <x:row r="2">
      <x:c r="A2" t="str">
        <x:v>P0195</x:v>
      </x:c>
      <x:c r="B2" t="str">
        <x:v>Household</x:v>
      </x:c>
      <x:c r="C2" t="str">
        <x:v>SUP048</x:v>
      </x:c>
      <x:c r="D2" t="n">
        <x:v>102033.42</x:v>
      </x:c>
      <x:c r="E2" t="n">
        <x:v>337</x:v>
      </x:c>
      <x:c r="F2" t="n">
        <x:v>16</x:v>
      </x:c>
      <x:c r="G2" t="n">
        <x:v>3700</x:v>
      </x:c>
      <x:c r="H2" t="n">
        <x:v>63317.52</x:v>
      </x:c>
      <x:c r="I2" t="str">
        <x:v>0.0</x:v>
      </x:c>
      <x:c r="J2" t="n">
        <x:v>878</x:v>
      </x:c>
      <x:c r="K2" t="n">
        <x:v>0</x:v>
      </x:c>
    </x:row>
    <x:row r="3">
      <x:c r="A3" t="str">
        <x:v>P0083</x:v>
      </x:c>
      <x:c r="B3" t="str">
        <x:v>Household</x:v>
      </x:c>
      <x:c r="C3" t="str">
        <x:v>SUP012</x:v>
      </x:c>
      <x:c r="D3" t="n">
        <x:v>273307.77</x:v>
      </x:c>
      <x:c r="E3" t="n">
        <x:v>403</x:v>
      </x:c>
      <x:c r="F3" t="n">
        <x:v>35</x:v>
      </x:c>
      <x:c r="G3" t="n">
        <x:v>5524</x:v>
      </x:c>
      <x:c r="H3" t="n">
        <x:v>118513.2</x:v>
      </x:c>
      <x:c r="I3" t="str">
        <x:v>0.0</x:v>
      </x:c>
      <x:c r="J3" t="n">
        <x:v>687</x:v>
      </x:c>
      <x:c r="K3" t="n">
        <x:v>0</x:v>
      </x:c>
    </x:row>
    <x:row r="4">
      <x:c r="A4" t="str">
        <x:v>P0058</x:v>
      </x:c>
      <x:c r="B4" t="str">
        <x:v>Dry Grocery</x:v>
      </x:c>
      <x:c r="C4" t="str">
        <x:v>SUP013</x:v>
      </x:c>
      <x:c r="D4" t="n">
        <x:v>560309.28</x:v>
      </x:c>
      <x:c r="E4" t="n">
        <x:v>414</x:v>
      </x:c>
      <x:c r="F4" t="n">
        <x:v>29</x:v>
      </x:c>
      <x:c r="G4" t="n">
        <x:v>6830</x:v>
      </x:c>
      <x:c r="H4" t="n">
        <x:v>195972.4</x:v>
      </x:c>
      <x:c r="I4" t="str">
        <x:v>0.0</x:v>
      </x:c>
      <x:c r="J4" t="n">
        <x:v>1586</x:v>
      </x:c>
      <x:c r="K4" t="n">
        <x:v>0</x:v>
      </x:c>
    </x:row>
    <x:row r="5">
      <x:c r="A5" t="str">
        <x:v>P0042</x:v>
      </x:c>
      <x:c r="B5" t="str">
        <x:v>Dry Grocery</x:v>
      </x:c>
      <x:c r="C5" t="str">
        <x:v>SUP024</x:v>
      </x:c>
      <x:c r="D5" t="n">
        <x:v>895287.25</x:v>
      </x:c>
      <x:c r="E5" t="n">
        <x:v>2900</x:v>
      </x:c>
      <x:c r="F5" t="n">
        <x:v>202</x:v>
      </x:c>
      <x:c r="G5" t="n">
        <x:v>8035</x:v>
      </x:c>
      <x:c r="H5" t="n">
        <x:v>75564.72</x:v>
      </x:c>
      <x:c r="I5" t="str">
        <x:v>0.0</x:v>
      </x:c>
      <x:c r="J5" t="n">
        <x:v>0</x:v>
      </x:c>
      <x:c r="K5" t="n">
        <x:v>2</x:v>
      </x:c>
    </x:row>
    <x:row r="6">
      <x:c r="A6" t="str">
        <x:v>P0056</x:v>
      </x:c>
      <x:c r="B6" t="str">
        <x:v>Cleaning</x:v>
      </x:c>
      <x:c r="C6" t="str">
        <x:v>SUP025</x:v>
      </x:c>
      <x:c r="D6" t="n">
        <x:v>1414697.37</x:v>
      </x:c>
      <x:c r="E6" t="n">
        <x:v>468</x:v>
      </x:c>
      <x:c r="F6" t="n">
        <x:v>33</x:v>
      </x:c>
      <x:c r="G6" t="n">
        <x:v>7485</x:v>
      </x:c>
      <x:c r="H6" t="n">
        <x:v>943855.8</x:v>
      </x:c>
      <x:c r="I6" t="str">
        <x:v>0.0</x:v>
      </x:c>
      <x:c r="J6" t="n">
        <x:v>4412</x:v>
      </x:c>
      <x:c r="K6" t="n">
        <x:v>0</x:v>
      </x:c>
    </x:row>
    <x:row r="7">
      <x:c r="A7" t="str">
        <x:v>P0381</x:v>
      </x:c>
      <x:c r="B7" t="str">
        <x:v>Packaging</x:v>
      </x:c>
      <x:c r="C7" t="str">
        <x:v>SUP035</x:v>
      </x:c>
      <x:c r="D7" t="n">
        <x:v>256496.8</x:v>
      </x:c>
      <x:c r="E7" t="n">
        <x:v>99</x:v>
      </x:c>
      <x:c r="F7" t="n">
        <x:v>8</x:v>
      </x:c>
      <x:c r="G7" t="n">
        <x:v>2707</x:v>
      </x:c>
      <x:c r="H7" t="n">
        <x:v>157473.33</x:v>
      </x:c>
      <x:c r="I7" t="str">
        <x:v>0.0</x:v>
      </x:c>
      <x:c r="J7" t="n">
        <x:v>218</x:v>
      </x:c>
      <x:c r="K7" t="n">
        <x:v>0</x:v>
      </x:c>
    </x:row>
    <x:row r="8">
      <x:c r="A8" t="str">
        <x:v>P0222</x:v>
      </x:c>
      <x:c r="B8" t="str">
        <x:v>Hardware</x:v>
      </x:c>
      <x:c r="C8" t="str">
        <x:v>SUP003</x:v>
      </x:c>
      <x:c r="D8" t="n">
        <x:v>434458.4</x:v>
      </x:c>
      <x:c r="E8" t="n">
        <x:v>479</x:v>
      </x:c>
      <x:c r="F8" t="n">
        <x:v>40</x:v>
      </x:c>
      <x:c r="G8" t="n">
        <x:v>3259</x:v>
      </x:c>
      <x:c r="H8" t="n">
        <x:v>149132.5</x:v>
      </x:c>
      <x:c r="I8" t="str">
        <x:v>0.0</x:v>
      </x:c>
      <x:c r="J8" t="n">
        <x:v>177</x:v>
      </x:c>
      <x:c r="K8" t="n">
        <x:v>1</x:v>
      </x:c>
    </x:row>
    <x:row r="9">
      <x:c r="A9" t="str">
        <x:v>P0283</x:v>
      </x:c>
      <x:c r="B9" t="str">
        <x:v>Household</x:v>
      </x:c>
      <x:c r="C9" t="str">
        <x:v>SUP061</x:v>
      </x:c>
      <x:c r="D9" t="n">
        <x:v>500094.18</x:v>
      </x:c>
      <x:c r="E9" t="n">
        <x:v>78</x:v>
      </x:c>
      <x:c r="F9" t="n">
        <x:v>5</x:v>
      </x:c>
      <x:c r="G9" t="n">
        <x:v>3309</x:v>
      </x:c>
      <x:c r="H9" t="n">
        <x:v>269243.25</x:v>
      </x:c>
      <x:c r="I9" t="str">
        <x:v>0.0</x:v>
      </x:c>
      <x:c r="J9" t="n">
        <x:v>630</x:v>
      </x:c>
      <x:c r="K9" t="n">
        <x:v>0</x:v>
      </x:c>
    </x:row>
    <x:row r="10">
      <x:c r="A10" t="str">
        <x:v>P0343</x:v>
      </x:c>
      <x:c r="B10" t="str">
        <x:v>Electrical</x:v>
      </x:c>
      <x:c r="C10" t="str">
        <x:v>SUP039</x:v>
      </x:c>
      <x:c r="D10" t="n">
        <x:v>689819.44</x:v>
      </x:c>
      <x:c r="E10" t="n">
        <x:v>252</x:v>
      </x:c>
      <x:c r="F10" t="n">
        <x:v>17</x:v>
      </x:c>
      <x:c r="G10" t="n">
        <x:v>3440</x:v>
      </x:c>
      <x:c r="H10" t="n">
        <x:v>618605.2</x:v>
      </x:c>
      <x:c r="I10" t="str">
        <x:v>0.0</x:v>
      </x:c>
      <x:c r="J10" t="n">
        <x:v>2780</x:v>
      </x:c>
      <x:c r="K10" t="n">
        <x:v>0</x:v>
      </x:c>
    </x:row>
    <x:row r="11">
      <x:c r="A11" t="str">
        <x:v>P0439</x:v>
      </x:c>
      <x:c r="B11" t="str">
        <x:v>Electrical</x:v>
      </x:c>
      <x:c r="C11" t="str">
        <x:v>SUP022</x:v>
      </x:c>
      <x:c r="D11" t="n">
        <x:v>395971.92</x:v>
      </x:c>
      <x:c r="E11" t="n">
        <x:v>292</x:v>
      </x:c>
      <x:c r="F11" t="n">
        <x:v>24</x:v>
      </x:c>
      <x:c r="G11" t="n">
        <x:v>2636</x:v>
      </x:c>
      <x:c r="H11" t="n">
        <x:v>63027.25</x:v>
      </x:c>
      <x:c r="I11" t="str">
        <x:v>0.0</x:v>
      </x:c>
      <x:c r="J11" t="n">
        <x:v>0</x:v>
      </x:c>
      <x:c r="K11" t="n">
        <x:v>0</x:v>
      </x:c>
    </x:row>
    <x:row r="12">
      <x:c r="A12" t="str">
        <x:v>P0203</x:v>
      </x:c>
      <x:c r="B12" t="str">
        <x:v>Household</x:v>
      </x:c>
      <x:c r="C12" t="str">
        <x:v>SUP005</x:v>
      </x:c>
      <x:c r="D12" t="n">
        <x:v>533465.71</x:v>
      </x:c>
      <x:c r="E12" t="n">
        <x:v>156</x:v>
      </x:c>
      <x:c r="F12" t="n">
        <x:v>9</x:v>
      </x:c>
      <x:c r="G12" t="n">
        <x:v>3415</x:v>
      </x:c>
      <x:c r="H12" t="n">
        <x:v>408519.2</x:v>
      </x:c>
      <x:c r="I12" t="str">
        <x:v>0.0</x:v>
      </x:c>
      <x:c r="J12" t="n">
        <x:v>1575</x:v>
      </x:c>
      <x:c r="K12" t="n">
        <x:v>0</x:v>
      </x:c>
    </x:row>
    <x:row r="13">
      <x:c r="A13" t="str">
        <x:v>P0152</x:v>
      </x:c>
      <x:c r="B13" t="str">
        <x:v>Cleaning</x:v>
      </x:c>
      <x:c r="C13" t="str">
        <x:v>SUP042</x:v>
      </x:c>
      <x:c r="D13" t="n">
        <x:v>265296.72</x:v>
      </x:c>
      <x:c r="E13" t="n">
        <x:v>745</x:v>
      </x:c>
      <x:c r="F13" t="n">
        <x:v>66</x:v>
      </x:c>
      <x:c r="G13" t="n">
        <x:v>4333</x:v>
      </x:c>
      <x:c r="H13" t="n">
        <x:v>50529.42</x:v>
      </x:c>
      <x:c r="I13" t="str">
        <x:v>0.0</x:v>
      </x:c>
      <x:c r="J13" t="n">
        <x:v>32</x:v>
      </x:c>
      <x:c r="K13" t="n">
        <x:v>2</x:v>
      </x:c>
    </x:row>
    <x:row r="14">
      <x:c r="A14" t="str">
        <x:v>P0171</x:v>
      </x:c>
      <x:c r="B14" t="str">
        <x:v>Household</x:v>
      </x:c>
      <x:c r="C14" t="str">
        <x:v>SUP052</x:v>
      </x:c>
      <x:c r="D14" t="n">
        <x:v>587117.02</x:v>
      </x:c>
      <x:c r="E14" t="n">
        <x:v>415</x:v>
      </x:c>
      <x:c r="F14" t="n">
        <x:v>31</x:v>
      </x:c>
      <x:c r="G14" t="n">
        <x:v>3878</x:v>
      </x:c>
      <x:c r="H14" t="n">
        <x:v>147560.4</x:v>
      </x:c>
      <x:c r="I14" t="str">
        <x:v>0.0</x:v>
      </x:c>
      <x:c r="J14" t="n">
        <x:v>0</x:v>
      </x:c>
      <x:c r="K14" t="n">
        <x:v>0</x:v>
      </x:c>
    </x:row>
    <x:row r="15">
      <x:c r="A15" t="str">
        <x:v>P0304</x:v>
      </x:c>
      <x:c r="B15" t="str">
        <x:v>Cleaning</x:v>
      </x:c>
      <x:c r="C15" t="str">
        <x:v>SUP054</x:v>
      </x:c>
      <x:c r="D15" t="n">
        <x:v>176006.7</x:v>
      </x:c>
      <x:c r="E15" t="n">
        <x:v>137</x:v>
      </x:c>
      <x:c r="F15" t="n">
        <x:v>10</x:v>
      </x:c>
      <x:c r="G15" t="n">
        <x:v>2827</x:v>
      </x:c>
      <x:c r="H15" t="n">
        <x:v>158092.55</x:v>
      </x:c>
      <x:c r="I15" t="str">
        <x:v>0.0</x:v>
      </x:c>
      <x:c r="J15" t="n">
        <x:v>2143</x:v>
      </x:c>
      <x:c r="K15" t="n">
        <x:v>0</x:v>
      </x:c>
    </x:row>
    <x:row r="16">
      <x:c r="A16" t="str">
        <x:v>P0051</x:v>
      </x:c>
      <x:c r="B16" t="str">
        <x:v>Household</x:v>
      </x:c>
      <x:c r="C16" t="str">
        <x:v>SUP040</x:v>
      </x:c>
      <x:c r="D16" t="n">
        <x:v>1131367.6</x:v>
      </x:c>
      <x:c r="E16" t="n">
        <x:v>563</x:v>
      </x:c>
      <x:c r="F16" t="n">
        <x:v>37</x:v>
      </x:c>
      <x:c r="G16" t="n">
        <x:v>7173</x:v>
      </x:c>
      <x:c r="H16" t="n">
        <x:v>215206.68</x:v>
      </x:c>
      <x:c r="I16" t="str">
        <x:v>0.0</x:v>
      </x:c>
      <x:c r="J16" t="n">
        <x:v>43</x:v>
      </x:c>
      <x:c r="K16" t="n">
        <x:v>0</x:v>
      </x:c>
    </x:row>
    <x:row r="17">
      <x:c r="A17" t="str">
        <x:v>P0245</x:v>
      </x:c>
      <x:c r="B17" t="str">
        <x:v>Packaging</x:v>
      </x:c>
      <x:c r="C17" t="str">
        <x:v>SUP057</x:v>
      </x:c>
      <x:c r="D17" t="n">
        <x:v>405132.24</x:v>
      </x:c>
      <x:c r="E17" t="n">
        <x:v>213</x:v>
      </x:c>
      <x:c r="F17" t="n">
        <x:v>14</x:v>
      </x:c>
      <x:c r="G17" t="n">
        <x:v>3395</x:v>
      </x:c>
      <x:c r="H17" t="n">
        <x:v>159949.65</x:v>
      </x:c>
      <x:c r="I17" t="str">
        <x:v>0.0</x:v>
      </x:c>
      <x:c r="J17" t="n">
        <x:v>654</x:v>
      </x:c>
      <x:c r="K17" t="n">
        <x:v>1</x:v>
      </x:c>
    </x:row>
    <x:row r="18">
      <x:c r="A18" t="str">
        <x:v>P0178</x:v>
      </x:c>
      <x:c r="B18" t="str">
        <x:v>Dry Grocery</x:v>
      </x:c>
      <x:c r="C18" t="str">
        <x:v>SUP017</x:v>
      </x:c>
      <x:c r="D18" t="n">
        <x:v>74870.04</x:v>
      </x:c>
      <x:c r="E18" t="n">
        <x:v>177</x:v>
      </x:c>
      <x:c r="F18" t="n">
        <x:v>12</x:v>
      </x:c>
      <x:c r="G18" t="n">
        <x:v>3815</x:v>
      </x:c>
      <x:c r="H18" t="n">
        <x:v>80533.44</x:v>
      </x:c>
      <x:c r="I18" t="str">
        <x:v>0.0</x:v>
      </x:c>
      <x:c r="J18" t="n">
        <x:v>3416</x:v>
      </x:c>
      <x:c r="K18" t="n">
        <x:v>0</x:v>
      </x:c>
    </x:row>
    <x:row r="19">
      <x:c r="A19" t="str">
        <x:v>P0284</x:v>
      </x:c>
      <x:c r="B19" t="str">
        <x:v>Personal Care</x:v>
      </x:c>
      <x:c r="C19" t="str">
        <x:v>SUP030</x:v>
      </x:c>
      <x:c r="D19" t="n">
        <x:v>492969.55</x:v>
      </x:c>
      <x:c r="E19" t="n">
        <x:v>555</x:v>
      </x:c>
      <x:c r="F19" t="n">
        <x:v>48</x:v>
      </x:c>
      <x:c r="G19" t="n">
        <x:v>3232</x:v>
      </x:c>
      <x:c r="H19" t="n">
        <x:v>123419.84</x:v>
      </x:c>
      <x:c r="I19" t="str">
        <x:v>0.0</x:v>
      </x:c>
      <x:c r="J19" t="n">
        <x:v>9</x:v>
      </x:c>
      <x:c r="K19" t="n">
        <x:v>1</x:v>
      </x:c>
    </x:row>
    <x:row r="20">
      <x:c r="A20" t="str">
        <x:v>P0096</x:v>
      </x:c>
      <x:c r="B20" t="str">
        <x:v>Cleaning</x:v>
      </x:c>
      <x:c r="C20" t="str">
        <x:v>SUP029</x:v>
      </x:c>
      <x:c r="D20" t="n">
        <x:v>883616.31</x:v>
      </x:c>
      <x:c r="E20" t="n">
        <x:v>285</x:v>
      </x:c>
      <x:c r="F20" t="n">
        <x:v>16</x:v>
      </x:c>
      <x:c r="G20" t="n">
        <x:v>5572</x:v>
      </x:c>
      <x:c r="H20" t="n">
        <x:v>681952.22</x:v>
      </x:c>
      <x:c r="I20" t="str">
        <x:v>0.0</x:v>
      </x:c>
      <x:c r="J20" t="n">
        <x:v>3071</x:v>
      </x:c>
      <x:c r="K20" t="n">
        <x:v>0</x:v>
      </x:c>
    </x:row>
    <x:row r="21">
      <x:c r="A21" t="str">
        <x:v>P0124</x:v>
      </x:c>
      <x:c r="B21" t="str">
        <x:v>Personal Care</x:v>
      </x:c>
      <x:c r="C21" t="str">
        <x:v>SUP048</x:v>
      </x:c>
      <x:c r="D21" t="n">
        <x:v>270359.64</x:v>
      </x:c>
      <x:c r="E21" t="n">
        <x:v>241</x:v>
      </x:c>
      <x:c r="F21" t="n">
        <x:v>19</x:v>
      </x:c>
      <x:c r="G21" t="n">
        <x:v>4738</x:v>
      </x:c>
      <x:c r="H21" t="n">
        <x:v>129666.96</x:v>
      </x:c>
      <x:c r="I21" t="str">
        <x:v>0.0</x:v>
      </x:c>
      <x:c r="J21" t="n">
        <x:v>498</x:v>
      </x:c>
      <x:c r="K21" t="n">
        <x:v>0</x:v>
      </x:c>
    </x:row>
    <x:row r="22">
      <x:c r="A22" t="str">
        <x:v>P0030</x:v>
      </x:c>
      <x:c r="B22" t="str">
        <x:v>Hardware</x:v>
      </x:c>
      <x:c r="C22" t="str">
        <x:v>SUP008</x:v>
      </x:c>
      <x:c r="D22" t="n">
        <x:v>194560.41</x:v>
      </x:c>
      <x:c r="E22" t="n">
        <x:v>1532</x:v>
      </x:c>
      <x:c r="F22" t="n">
        <x:v>117</x:v>
      </x:c>
      <x:c r="G22" t="n">
        <x:v>8995</x:v>
      </x:c>
      <x:c r="H22" t="n">
        <x:v>41664.08</x:v>
      </x:c>
      <x:c r="I22" t="str">
        <x:v>0.0</x:v>
      </x:c>
      <x:c r="J22" t="n">
        <x:v>672</x:v>
      </x:c>
      <x:c r="K22" t="n">
        <x:v>0</x:v>
      </x:c>
    </x:row>
    <x:row r="23">
      <x:c r="A23" t="str">
        <x:v>P0008</x:v>
      </x:c>
      <x:c r="B23" t="str">
        <x:v>Cleaning</x:v>
      </x:c>
      <x:c r="C23" t="str">
        <x:v>SUP022</x:v>
      </x:c>
      <x:c r="D23" t="n">
        <x:v>2321606.43</x:v>
      </x:c>
      <x:c r="E23" t="n">
        <x:v>6315</x:v>
      </x:c>
      <x:c r="F23" t="n">
        <x:v>267</x:v>
      </x:c>
      <x:c r="G23" t="n">
        <x:v>20472</x:v>
      </x:c>
      <x:c r="H23" t="n">
        <x:v>159462.38</x:v>
      </x:c>
      <x:c r="I23" t="str">
        <x:v>0.0</x:v>
      </x:c>
      <x:c r="J23" t="n">
        <x:v>560</x:v>
      </x:c>
      <x:c r="K23" t="n">
        <x:v>1</x:v>
      </x:c>
    </x:row>
    <x:row r="24">
      <x:c r="A24" t="str">
        <x:v>P0102</x:v>
      </x:c>
      <x:c r="B24" t="str">
        <x:v>Hardware</x:v>
      </x:c>
      <x:c r="C24" t="str">
        <x:v>SUP031</x:v>
      </x:c>
      <x:c r="D24" t="n">
        <x:v>246416.94</x:v>
      </x:c>
      <x:c r="E24" t="n">
        <x:v>89</x:v>
      </x:c>
      <x:c r="F24" t="n">
        <x:v>8</x:v>
      </x:c>
      <x:c r="G24" t="n">
        <x:v>5500</x:v>
      </x:c>
      <x:c r="H24" t="n">
        <x:v>308838.09</x:v>
      </x:c>
      <x:c r="I24" t="str">
        <x:v>0.0</x:v>
      </x:c>
      <x:c r="J24" t="n">
        <x:v>6679</x:v>
      </x:c>
      <x:c r="K24" t="n">
        <x:v>0</x:v>
      </x:c>
    </x:row>
    <x:row r="25">
      <x:c r="A25" t="str">
        <x:v>P0148</x:v>
      </x:c>
      <x:c r="B25" t="str">
        <x:v>Personal Care</x:v>
      </x:c>
      <x:c r="C25" t="str">
        <x:v>SUP029</x:v>
      </x:c>
      <x:c r="D25" t="n">
        <x:v>43774.5</x:v>
      </x:c>
      <x:c r="E25" t="n">
        <x:v>112</x:v>
      </x:c>
      <x:c r="F25" t="n">
        <x:v>10</x:v>
      </x:c>
      <x:c r="G25" t="n">
        <x:v>3962</x:v>
      </x:c>
      <x:c r="H25" t="n">
        <x:v>48363.48</x:v>
      </x:c>
      <x:c r="I25" t="str">
        <x:v>0.0</x:v>
      </x:c>
      <x:c r="J25" t="n">
        <x:v>2675</x:v>
      </x:c>
      <x:c r="K25" t="n">
        <x:v>0</x:v>
      </x:c>
    </x:row>
    <x:row r="26">
      <x:c r="A26" t="str">
        <x:v>P0173</x:v>
      </x:c>
      <x:c r="B26" t="str">
        <x:v>Packaging</x:v>
      </x:c>
      <x:c r="C26" t="str">
        <x:v>SUP011</x:v>
      </x:c>
      <x:c r="D26" t="n">
        <x:v>849652.25</x:v>
      </x:c>
      <x:c r="E26" t="n">
        <x:v>41</x:v>
      </x:c>
      <x:c r="F26" t="n">
        <x:v>4</x:v>
      </x:c>
      <x:c r="G26" t="n">
        <x:v>4242</x:v>
      </x:c>
      <x:c r="H26" t="n">
        <x:v>736455</x:v>
      </x:c>
      <x:c r="I26" t="str">
        <x:v>0.0</x:v>
      </x:c>
      <x:c r="J26" t="n">
        <x:v>2781</x:v>
      </x:c>
      <x:c r="K26" t="n">
        <x:v>0</x:v>
      </x:c>
    </x:row>
    <x:row r="27">
      <x:c r="A27" t="str">
        <x:v>P0049</x:v>
      </x:c>
      <x:c r="B27" t="str">
        <x:v>Beverages</x:v>
      </x:c>
      <x:c r="C27" t="str">
        <x:v>SUP023</x:v>
      </x:c>
      <x:c r="D27" t="n">
        <x:v>372869.77</x:v>
      </x:c>
      <x:c r="E27" t="n">
        <x:v>2221</x:v>
      </x:c>
      <x:c r="F27" t="n">
        <x:v>154</x:v>
      </x:c>
      <x:c r="G27" t="n">
        <x:v>7352</x:v>
      </x:c>
      <x:c r="H27" t="n">
        <x:v>69663.7</x:v>
      </x:c>
      <x:c r="I27" t="str">
        <x:v>0.0</x:v>
      </x:c>
      <x:c r="J27" t="n">
        <x:v>406</x:v>
      </x:c>
      <x:c r="K27" t="n">
        <x:v>1</x:v>
      </x:c>
    </x:row>
    <x:row r="28">
      <x:c r="A28" t="str">
        <x:v>P0026</x:v>
      </x:c>
      <x:c r="B28" t="str">
        <x:v>Dry Grocery</x:v>
      </x:c>
      <x:c r="C28" t="str">
        <x:v>SUP051</x:v>
      </x:c>
      <x:c r="D28" t="n">
        <x:v>976392.32</x:v>
      </x:c>
      <x:c r="E28" t="n">
        <x:v>2566</x:v>
      </x:c>
      <x:c r="F28" t="n">
        <x:v>178</x:v>
      </x:c>
      <x:c r="G28" t="n">
        <x:v>9798</x:v>
      </x:c>
      <x:c r="H28" t="n">
        <x:v>66053.12</x:v>
      </x:c>
      <x:c r="I28" t="str">
        <x:v>0.0</x:v>
      </x:c>
      <x:c r="J28" t="n">
        <x:v>0</x:v>
      </x:c>
      <x:c r="K28" t="n">
        <x:v>2</x:v>
      </x:c>
    </x:row>
    <x:row r="29">
      <x:c r="A29" t="str">
        <x:v>P0150</x:v>
      </x:c>
      <x:c r="B29" t="str">
        <x:v>Hardware</x:v>
      </x:c>
      <x:c r="C29" t="str">
        <x:v>SUP060</x:v>
      </x:c>
      <x:c r="D29" t="n">
        <x:v>705729.3</x:v>
      </x:c>
      <x:c r="E29" t="n">
        <x:v>71</x:v>
      </x:c>
      <x:c r="F29" t="n">
        <x:v>5</x:v>
      </x:c>
      <x:c r="G29" t="n">
        <x:v>4038</x:v>
      </x:c>
      <x:c r="H29" t="n">
        <x:v>1005479.84</x:v>
      </x:c>
      <x:c r="I29" t="str">
        <x:v>0.0</x:v>
      </x:c>
      <x:c r="J29" t="n">
        <x:v>5728</x:v>
      </x:c>
      <x:c r="K29" t="n">
        <x:v>0</x:v>
      </x:c>
    </x:row>
    <x:row r="30">
      <x:c r="A30" t="str">
        <x:v>P0047</x:v>
      </x:c>
      <x:c r="B30" t="str">
        <x:v>Electrical</x:v>
      </x:c>
      <x:c r="C30" t="str">
        <x:v>SUP063</x:v>
      </x:c>
      <x:c r="D30" t="n">
        <x:v>956407.7</x:v>
      </x:c>
      <x:c r="E30" t="n">
        <x:v>338</x:v>
      </x:c>
      <x:c r="F30" t="n">
        <x:v>22</x:v>
      </x:c>
      <x:c r="G30" t="n">
        <x:v>7236</x:v>
      </x:c>
      <x:c r="H30" t="n">
        <x:v>1284366.78</x:v>
      </x:c>
      <x:c r="I30" t="str">
        <x:v>0.0</x:v>
      </x:c>
      <x:c r="J30" t="n">
        <x:v>8897</x:v>
      </x:c>
      <x:c r="K30" t="n">
        <x:v>0</x:v>
      </x:c>
    </x:row>
    <x:row r="31">
      <x:c r="A31" t="str">
        <x:v>P0006</x:v>
      </x:c>
      <x:c r="B31" t="str">
        <x:v>Hardware</x:v>
      </x:c>
      <x:c r="C31" t="str">
        <x:v>SUP014</x:v>
      </x:c>
      <x:c r="D31" t="n">
        <x:v>785464.24</x:v>
      </x:c>
      <x:c r="E31" t="n">
        <x:v>13430</x:v>
      </x:c>
      <x:c r="F31" t="n">
        <x:v>726</x:v>
      </x:c>
      <x:c r="G31" t="n">
        <x:v>25678</x:v>
      </x:c>
      <x:c r="H31" t="n">
        <x:v>7547.28</x:v>
      </x:c>
      <x:c r="I31" t="str">
        <x:v>0.0</x:v>
      </x:c>
      <x:c r="J31" t="n">
        <x:v>0</x:v>
      </x:c>
      <x:c r="K31" t="n">
        <x:v>3</x:v>
      </x:c>
    </x:row>
    <x:row r="32">
      <x:c r="A32" t="str">
        <x:v>P0009</x:v>
      </x:c>
      <x:c r="B32" t="str">
        <x:v>Beverages</x:v>
      </x:c>
      <x:c r="C32" t="str">
        <x:v>SUP005</x:v>
      </x:c>
      <x:c r="D32" t="n">
        <x:v>3183773.58</x:v>
      </x:c>
      <x:c r="E32" t="n">
        <x:v>5019</x:v>
      </x:c>
      <x:c r="F32" t="n">
        <x:v>178</x:v>
      </x:c>
      <x:c r="G32" t="n">
        <x:v>22010</x:v>
      </x:c>
      <x:c r="H32" t="n">
        <x:v>350027.2</x:v>
      </x:c>
      <x:c r="I32" t="str">
        <x:v>0.0</x:v>
      </x:c>
      <x:c r="J32" t="n">
        <x:v>887</x:v>
      </x:c>
      <x:c r="K32" t="n">
        <x:v>1</x:v>
      </x:c>
    </x:row>
    <x:row r="33">
      <x:c r="A33" t="str">
        <x:v>P0025</x:v>
      </x:c>
      <x:c r="B33" t="str">
        <x:v>Beverages</x:v>
      </x:c>
      <x:c r="C33" t="str">
        <x:v>SUP046</x:v>
      </x:c>
      <x:c r="D33" t="n">
        <x:v>719537.7</x:v>
      </x:c>
      <x:c r="E33" t="n">
        <x:v>1585</x:v>
      </x:c>
      <x:c r="F33" t="n">
        <x:v>109</x:v>
      </x:c>
      <x:c r="G33" t="n">
        <x:v>10195</x:v>
      </x:c>
      <x:c r="H33" t="n">
        <x:v>152479.36</x:v>
      </x:c>
      <x:c r="I33" t="str">
        <x:v>0.0</x:v>
      </x:c>
      <x:c r="J33" t="n">
        <x:v>1489</x:v>
      </x:c>
      <x:c r="K33" t="n">
        <x:v>0</x:v>
      </x:c>
    </x:row>
    <x:row r="34">
      <x:c r="A34" t="str">
        <x:v>P0022</x:v>
      </x:c>
      <x:c r="B34" t="str">
        <x:v>Hardware</x:v>
      </x:c>
      <x:c r="C34" t="str">
        <x:v>SUP007</x:v>
      </x:c>
      <x:c r="D34" t="n">
        <x:v>968683.12</x:v>
      </x:c>
      <x:c r="E34" t="n">
        <x:v>1760</x:v>
      </x:c>
      <x:c r="F34" t="n">
        <x:v>140</x:v>
      </x:c>
      <x:c r="G34" t="n">
        <x:v>11194</x:v>
      </x:c>
      <x:c r="H34" t="n">
        <x:v>218984.31</x:v>
      </x:c>
      <x:c r="I34" t="str">
        <x:v>0.0</x:v>
      </x:c>
      <x:c r="J34" t="n">
        <x:v>969</x:v>
      </x:c>
      <x:c r="K34" t="n">
        <x:v>0</x:v>
      </x:c>
    </x:row>
    <x:row r="35">
      <x:c r="A35" t="str">
        <x:v>P0014</x:v>
      </x:c>
      <x:c r="B35" t="str">
        <x:v>Hardware</x:v>
      </x:c>
      <x:c r="C35" t="str">
        <x:v>SUP049</x:v>
      </x:c>
      <x:c r="D35" t="n">
        <x:v>381945.9</x:v>
      </x:c>
      <x:c r="E35" t="n">
        <x:v>5496</x:v>
      </x:c>
      <x:c r="F35" t="n">
        <x:v>222</x:v>
      </x:c>
      <x:c r="G35" t="n">
        <x:v>16911</x:v>
      </x:c>
      <x:c r="H35" t="n">
        <x:v>9044.88</x:v>
      </x:c>
      <x:c r="I35" t="str">
        <x:v>0.0</x:v>
      </x:c>
      <x:c r="J35" t="n">
        <x:v>0</x:v>
      </x:c>
      <x:c r="K35" t="n">
        <x:v>1</x:v>
      </x:c>
    </x:row>
    <x:row r="36">
      <x:c r="A36" t="str">
        <x:v>P0246</x:v>
      </x:c>
      <x:c r="B36" t="str">
        <x:v>Hardware</x:v>
      </x:c>
      <x:c r="C36" t="str">
        <x:v>SUP060</x:v>
      </x:c>
      <x:c r="D36" t="n">
        <x:v>158596.02</x:v>
      </x:c>
      <x:c r="E36" t="n">
        <x:v>30</x:v>
      </x:c>
      <x:c r="F36" t="n">
        <x:v>2</x:v>
      </x:c>
      <x:c r="G36" t="n">
        <x:v>2808</x:v>
      </x:c>
      <x:c r="H36" t="n">
        <x:v>399033.9</x:v>
      </x:c>
      <x:c r="I36" t="str">
        <x:v>0.0</x:v>
      </x:c>
      <x:c r="J36" t="n">
        <x:v>6200</x:v>
      </x:c>
      <x:c r="K36" t="n">
        <x:v>0</x:v>
      </x:c>
    </x:row>
    <x:row r="37">
      <x:c r="A37" t="str">
        <x:v>P0367</x:v>
      </x:c>
      <x:c r="B37" t="str">
        <x:v>Electrical</x:v>
      </x:c>
      <x:c r="C37" t="str">
        <x:v>SUP017</x:v>
      </x:c>
      <x:c r="D37" t="n">
        <x:v>148679.44</x:v>
      </x:c>
      <x:c r="E37" t="n">
        <x:v>168</x:v>
      </x:c>
      <x:c r="F37" t="n">
        <x:v>16</x:v>
      </x:c>
      <x:c r="G37" t="n">
        <x:v>2534</x:v>
      </x:c>
      <x:c r="H37" t="n">
        <x:v>230347</x:v>
      </x:c>
      <x:c r="I37" t="str">
        <x:v>0.0</x:v>
      </x:c>
      <x:c r="J37" t="n">
        <x:v>3130</x:v>
      </x:c>
      <x:c r="K37" t="n">
        <x:v>0</x:v>
      </x:c>
    </x:row>
    <x:row r="38">
      <x:c r="A38" t="str">
        <x:v>P0141</x:v>
      </x:c>
      <x:c r="B38" t="str">
        <x:v>Packaging</x:v>
      </x:c>
      <x:c r="C38" t="str">
        <x:v>SUP005</x:v>
      </x:c>
      <x:c r="D38" t="n">
        <x:v>115910.64</x:v>
      </x:c>
      <x:c r="E38" t="n">
        <x:v>222</x:v>
      </x:c>
      <x:c r="F38" t="n">
        <x:v>15</x:v>
      </x:c>
      <x:c r="G38" t="n">
        <x:v>4573</x:v>
      </x:c>
      <x:c r="H38" t="n">
        <x:v>46267.2</x:v>
      </x:c>
      <x:c r="I38" t="str">
        <x:v>0.0</x:v>
      </x:c>
      <x:c r="J38" t="n">
        <x:v>806</x:v>
      </x:c>
      <x:c r="K38" t="n">
        <x:v>0</x:v>
      </x:c>
    </x:row>
    <x:row r="39">
      <x:c r="A39" t="str">
        <x:v>P0004</x:v>
      </x:c>
      <x:c r="B39" t="str">
        <x:v>Personal Care</x:v>
      </x:c>
      <x:c r="C39" t="str">
        <x:v>SUP058</x:v>
      </x:c>
      <x:c r="D39" t="n">
        <x:v>904033.01</x:v>
      </x:c>
      <x:c r="E39" t="n">
        <x:v>12637</x:v>
      </x:c>
      <x:c r="F39" t="n">
        <x:v>642</x:v>
      </x:c>
      <x:c r="G39" t="n">
        <x:v>28248</x:v>
      </x:c>
      <x:c r="H39" t="n">
        <x:v>51997.05</x:v>
      </x:c>
      <x:c r="I39" t="str">
        <x:v>0.0</x:v>
      </x:c>
      <x:c r="J39" t="n">
        <x:v>334</x:v>
      </x:c>
      <x:c r="K39" t="n">
        <x:v>2</x:v>
      </x:c>
    </x:row>
    <x:row r="40">
      <x:c r="A40" t="str">
        <x:v>P0011</x:v>
      </x:c>
      <x:c r="B40" t="str">
        <x:v>Household</x:v>
      </x:c>
      <x:c r="C40" t="str">
        <x:v>SUP051</x:v>
      </x:c>
      <x:c r="D40" t="n">
        <x:v>433780.38</x:v>
      </x:c>
      <x:c r="E40" t="n">
        <x:v>5811</x:v>
      </x:c>
      <x:c r="F40" t="n">
        <x:v>247</x:v>
      </x:c>
      <x:c r="G40" t="n">
        <x:v>18573</x:v>
      </x:c>
      <x:c r="H40" t="n">
        <x:v>9360.73</x:v>
      </x:c>
      <x:c r="I40" t="str">
        <x:v>0.0</x:v>
      </x:c>
      <x:c r="J40" t="n">
        <x:v>0</x:v>
      </x:c>
      <x:c r="K40" t="n">
        <x:v>2</x:v>
      </x:c>
    </x:row>
    <x:row r="41">
      <x:c r="A41" t="str">
        <x:v>P0005</x:v>
      </x:c>
      <x:c r="B41" t="str">
        <x:v>Packaging</x:v>
      </x:c>
      <x:c r="C41" t="str">
        <x:v>SUP020</x:v>
      </x:c>
      <x:c r="D41" t="n">
        <x:v>2599272</x:v>
      </x:c>
      <x:c r="E41" t="n">
        <x:v>10540</x:v>
      </x:c>
      <x:c r="F41" t="n">
        <x:v>485</x:v>
      </x:c>
      <x:c r="G41" t="n">
        <x:v>26140</x:v>
      </x:c>
      <x:c r="H41" t="n">
        <x:v>70584</x:v>
      </x:c>
      <x:c r="I41" t="str">
        <x:v>0.0</x:v>
      </x:c>
      <x:c r="J41" t="n">
        <x:v>64</x:v>
      </x:c>
      <x:c r="K41" t="n">
        <x:v>2</x:v>
      </x:c>
    </x:row>
    <x:row r="42">
      <x:c r="A42" t="str">
        <x:v>P0418</x:v>
      </x:c>
      <x:c r="B42" t="str">
        <x:v>Dry Grocery</x:v>
      </x:c>
      <x:c r="C42" t="str">
        <x:v>SUP012</x:v>
      </x:c>
      <x:c r="D42" t="n">
        <x:v>447023.5</x:v>
      </x:c>
      <x:c r="E42" t="n">
        <x:v>63</x:v>
      </x:c>
      <x:c r="F42" t="n">
        <x:v>5</x:v>
      </x:c>
      <x:c r="G42" t="n">
        <x:v>2681</x:v>
      </x:c>
      <x:c r="H42" t="n">
        <x:v>355361.6</x:v>
      </x:c>
      <x:c r="I42" t="str">
        <x:v>0.0</x:v>
      </x:c>
      <x:c r="J42" t="n">
        <x:v>892</x:v>
      </x:c>
      <x:c r="K42" t="n">
        <x:v>0</x:v>
      </x:c>
    </x:row>
    <x:row r="43">
      <x:c r="A43" t="str">
        <x:v>P0403</x:v>
      </x:c>
      <x:c r="B43" t="str">
        <x:v>Household</x:v>
      </x:c>
      <x:c r="C43" t="str">
        <x:v>SUP042</x:v>
      </x:c>
      <x:c r="D43" t="n">
        <x:v>404652.5</x:v>
      </x:c>
      <x:c r="E43" t="n">
        <x:v>446</x:v>
      </x:c>
      <x:c r="F43" t="n">
        <x:v>23</x:v>
      </x:c>
      <x:c r="G43" t="n">
        <x:v>2880</x:v>
      </x:c>
      <x:c r="H43" t="n">
        <x:v>180937.61</x:v>
      </x:c>
      <x:c r="I43" t="n">
        <x:v>5385.73</x:v>
      </x:c>
      <x:c r="J43" t="n">
        <x:v>299</x:v>
      </x:c>
      <x:c r="K43" t="n">
        <x:v>0</x:v>
      </x:c>
    </x:row>
    <x:row r="44">
      <x:c r="A44" t="str">
        <x:v>P0111</x:v>
      </x:c>
      <x:c r="B44" t="str">
        <x:v>Electrical</x:v>
      </x:c>
      <x:c r="C44" t="str">
        <x:v>SUP033</x:v>
      </x:c>
      <x:c r="D44" t="n">
        <x:v>539752.46</x:v>
      </x:c>
      <x:c r="E44" t="n">
        <x:v>157</x:v>
      </x:c>
      <x:c r="F44" t="n">
        <x:v>12</x:v>
      </x:c>
      <x:c r="G44" t="n">
        <x:v>4115</x:v>
      </x:c>
      <x:c r="H44" t="n">
        <x:v>260886.17</x:v>
      </x:c>
      <x:c r="I44" t="str">
        <x:v>0.0</x:v>
      </x:c>
      <x:c r="J44" t="n">
        <x:v>832</x:v>
      </x:c>
      <x:c r="K44" t="n">
        <x:v>0</x:v>
      </x:c>
    </x:row>
    <x:row r="45">
      <x:c r="A45" t="str">
        <x:v>P0279</x:v>
      </x:c>
      <x:c r="B45" t="str">
        <x:v>Electrical</x:v>
      </x:c>
      <x:c r="C45" t="str">
        <x:v>SUP064</x:v>
      </x:c>
      <x:c r="D45" t="n">
        <x:v>560443.68</x:v>
      </x:c>
      <x:c r="E45" t="n">
        <x:v>422</x:v>
      </x:c>
      <x:c r="F45" t="n">
        <x:v>25</x:v>
      </x:c>
      <x:c r="G45" t="n">
        <x:v>3626</x:v>
      </x:c>
      <x:c r="H45" t="n">
        <x:v>244399.68</x:v>
      </x:c>
      <x:c r="I45" t="str">
        <x:v>0.0</x:v>
      </x:c>
      <x:c r="J45" t="n">
        <x:v>495</x:v>
      </x:c>
      <x:c r="K45" t="n">
        <x:v>0</x:v>
      </x:c>
    </x:row>
    <x:row r="46">
      <x:c r="A46" t="str">
        <x:v>P0260</x:v>
      </x:c>
      <x:c r="B46" t="str">
        <x:v>Personal Care</x:v>
      </x:c>
      <x:c r="C46" t="str">
        <x:v>SUP061</x:v>
      </x:c>
      <x:c r="D46" t="n">
        <x:v>256014.9</x:v>
      </x:c>
      <x:c r="E46" t="n">
        <x:v>135</x:v>
      </x:c>
      <x:c r="F46" t="n">
        <x:v>10</x:v>
      </x:c>
      <x:c r="G46" t="n">
        <x:v>3597</x:v>
      </x:c>
      <x:c r="H46" t="n">
        <x:v>98912.1</x:v>
      </x:c>
      <x:c r="I46" t="str">
        <x:v>0.0</x:v>
      </x:c>
      <x:c r="J46" t="n">
        <x:v>441</x:v>
      </x:c>
      <x:c r="K46" t="n">
        <x:v>0</x:v>
      </x:c>
    </x:row>
    <x:row r="47">
      <x:c r="A47" t="str">
        <x:v>P0125</x:v>
      </x:c>
      <x:c r="B47" t="str">
        <x:v>Packaging</x:v>
      </x:c>
      <x:c r="C47" t="str">
        <x:v>SUP057</x:v>
      </x:c>
      <x:c r="D47" t="n">
        <x:v>127452</x:v>
      </x:c>
      <x:c r="E47" t="n">
        <x:v>428</x:v>
      </x:c>
      <x:c r="F47" t="n">
        <x:v>33</x:v>
      </x:c>
      <x:c r="G47" t="n">
        <x:v>4328</x:v>
      </x:c>
      <x:c r="H47" t="n">
        <x:v>45209.93</x:v>
      </x:c>
      <x:c r="I47" t="str">
        <x:v>0.0</x:v>
      </x:c>
      <x:c r="J47" t="n">
        <x:v>92</x:v>
      </x:c>
      <x:c r="K47" t="n">
        <x:v>1</x:v>
      </x:c>
    </x:row>
    <x:row r="48">
      <x:c r="A48" t="str">
        <x:v>P0075</x:v>
      </x:c>
      <x:c r="B48" t="str">
        <x:v>Household</x:v>
      </x:c>
      <x:c r="C48" t="str">
        <x:v>SUP002</x:v>
      </x:c>
      <x:c r="D48" t="n">
        <x:v>692167.84</x:v>
      </x:c>
      <x:c r="E48" t="n">
        <x:v>821</x:v>
      </x:c>
      <x:c r="F48" t="n">
        <x:v>59</x:v>
      </x:c>
      <x:c r="G48" t="n">
        <x:v>5679</x:v>
      </x:c>
      <x:c r="H48" t="n">
        <x:v>138375.96</x:v>
      </x:c>
      <x:c r="I48" t="str">
        <x:v>0.0</x:v>
      </x:c>
      <x:c r="J48" t="n">
        <x:v>246</x:v>
      </x:c>
      <x:c r="K48" t="n">
        <x:v>1</x:v>
      </x:c>
    </x:row>
    <x:row r="49">
      <x:c r="A49" t="str">
        <x:v>P0027</x:v>
      </x:c>
      <x:c r="B49" t="str">
        <x:v>Household</x:v>
      </x:c>
      <x:c r="C49" t="str">
        <x:v>SUP020</x:v>
      </x:c>
      <x:c r="D49" t="n">
        <x:v>1384015.78</x:v>
      </x:c>
      <x:c r="E49" t="n">
        <x:v>2904</x:v>
      </x:c>
      <x:c r="F49" t="n">
        <x:v>205</x:v>
      </x:c>
      <x:c r="G49" t="n">
        <x:v>9862</x:v>
      </x:c>
      <x:c r="H49" t="n">
        <x:v>57452</x:v>
      </x:c>
      <x:c r="I49" t="str">
        <x:v>0.0</x:v>
      </x:c>
      <x:c r="J49" t="n">
        <x:v>0</x:v>
      </x:c>
      <x:c r="K49" t="n">
        <x:v>2</x:v>
      </x:c>
    </x:row>
    <x:row r="50">
      <x:c r="A50" t="str">
        <x:v>P0073</x:v>
      </x:c>
      <x:c r="B50" t="str">
        <x:v>Beverages</x:v>
      </x:c>
      <x:c r="C50" t="str">
        <x:v>SUP057</x:v>
      </x:c>
      <x:c r="D50" t="n">
        <x:v>532860.84</x:v>
      </x:c>
      <x:c r="E50" t="n">
        <x:v>1085</x:v>
      </x:c>
      <x:c r="F50" t="n">
        <x:v>71</x:v>
      </x:c>
      <x:c r="G50" t="n">
        <x:v>5801</x:v>
      </x:c>
      <x:c r="H50" t="n">
        <x:v>91006.95</x:v>
      </x:c>
      <x:c r="I50" t="str">
        <x:v>0.0</x:v>
      </x:c>
      <x:c r="J50" t="n">
        <x:v>0</x:v>
      </x:c>
      <x:c r="K50" t="n">
        <x:v>0</x:v>
      </x:c>
    </x:row>
    <x:row r="51">
      <x:c r="A51" t="str">
        <x:v>P0431</x:v>
      </x:c>
      <x:c r="B51" t="str">
        <x:v>Electrical</x:v>
      </x:c>
      <x:c r="C51" t="str">
        <x:v>SUP036</x:v>
      </x:c>
      <x:c r="D51" t="n">
        <x:v>237807.9</x:v>
      </x:c>
      <x:c r="E51" t="n">
        <x:v>53</x:v>
      </x:c>
      <x:c r="F51" t="n">
        <x:v>4</x:v>
      </x:c>
      <x:c r="G51" t="n">
        <x:v>2807</x:v>
      </x:c>
      <x:c r="H51" t="n">
        <x:v>220302.97</x:v>
      </x:c>
      <x:c r="I51" t="str">
        <x:v>0.0</x:v>
      </x:c>
      <x:c r="J51" t="n">
        <x:v>1776</x:v>
      </x:c>
      <x:c r="K51" t="n">
        <x:v>0</x:v>
      </x:c>
    </x:row>
    <x:row r="52">
      <x:c r="A52" t="str">
        <x:v>P0340</x:v>
      </x:c>
      <x:c r="B52" t="str">
        <x:v>Personal Care</x:v>
      </x:c>
      <x:c r="C52" t="str">
        <x:v>SUP047</x:v>
      </x:c>
      <x:c r="D52" t="n">
        <x:v>513064.44</x:v>
      </x:c>
      <x:c r="E52" t="n">
        <x:v>244</x:v>
      </x:c>
      <x:c r="F52" t="n">
        <x:v>18</x:v>
      </x:c>
      <x:c r="G52" t="n">
        <x:v>2872</x:v>
      </x:c>
      <x:c r="H52" t="n">
        <x:v>828023.76</x:v>
      </x:c>
      <x:c r="I52" t="str">
        <x:v>0.0</x:v>
      </x:c>
      <x:c r="J52" t="n">
        <x:v>3728</x:v>
      </x:c>
      <x:c r="K52" t="n">
        <x:v>0</x:v>
      </x:c>
    </x:row>
    <x:row r="53">
      <x:c r="A53" t="str">
        <x:v>P0240</x:v>
      </x:c>
      <x:c r="B53" t="str">
        <x:v>Cleaning</x:v>
      </x:c>
      <x:c r="C53" t="str">
        <x:v>SUP036</x:v>
      </x:c>
      <x:c r="D53" t="n">
        <x:v>329796.64</x:v>
      </x:c>
      <x:c r="E53" t="n">
        <x:v>95</x:v>
      </x:c>
      <x:c r="F53" t="n">
        <x:v>6</x:v>
      </x:c>
      <x:c r="G53" t="n">
        <x:v>3759</x:v>
      </x:c>
      <x:c r="H53" t="n">
        <x:v>331126.08</x:v>
      </x:c>
      <x:c r="I53" t="str">
        <x:v>0.0</x:v>
      </x:c>
      <x:c r="J53" t="n">
        <x:v>2985</x:v>
      </x:c>
      <x:c r="K53" t="n">
        <x:v>0</x:v>
      </x:c>
    </x:row>
    <x:row r="54">
      <x:c r="A54" t="str">
        <x:v>P0109</x:v>
      </x:c>
      <x:c r="B54" t="str">
        <x:v>Packaging</x:v>
      </x:c>
      <x:c r="C54" t="str">
        <x:v>SUP027</x:v>
      </x:c>
      <x:c r="D54" t="n">
        <x:v>1041438.72</x:v>
      </x:c>
      <x:c r="E54" t="n">
        <x:v>74</x:v>
      </x:c>
      <x:c r="F54" t="n">
        <x:v>7</x:v>
      </x:c>
      <x:c r="G54" t="n">
        <x:v>5642</x:v>
      </x:c>
      <x:c r="H54" t="n">
        <x:v>1371529.52</x:v>
      </x:c>
      <x:c r="I54" t="str">
        <x:v>0.0</x:v>
      </x:c>
      <x:c r="J54" t="n">
        <x:v>8423</x:v>
      </x:c>
      <x:c r="K54" t="n">
        <x:v>0</x:v>
      </x:c>
    </x:row>
    <x:row r="55">
      <x:c r="A55" t="str">
        <x:v>P0422</x:v>
      </x:c>
      <x:c r="B55" t="str">
        <x:v>Hardware</x:v>
      </x:c>
      <x:c r="C55" t="str">
        <x:v>SUP061</x:v>
      </x:c>
      <x:c r="D55" t="n">
        <x:v>454866.9</x:v>
      </x:c>
      <x:c r="E55" t="n">
        <x:v>66</x:v>
      </x:c>
      <x:c r="F55" t="n">
        <x:v>5</x:v>
      </x:c>
      <x:c r="G55" t="n">
        <x:v>3248</x:v>
      </x:c>
      <x:c r="H55" t="n">
        <x:v>111160</x:v>
      </x:c>
      <x:c r="I55" t="str">
        <x:v>0.0</x:v>
      </x:c>
      <x:c r="J55" t="n">
        <x:v>0</x:v>
      </x:c>
      <x:c r="K55" t="n">
        <x:v>0</x:v>
      </x:c>
    </x:row>
    <x:row r="56">
      <x:c r="A56" t="str">
        <x:v>P0007</x:v>
      </x:c>
      <x:c r="B56" t="str">
        <x:v>Electrical</x:v>
      </x:c>
      <x:c r="C56" t="str">
        <x:v>SUP026</x:v>
      </x:c>
      <x:c r="D56" t="n">
        <x:v>1417590.72</x:v>
      </x:c>
      <x:c r="E56" t="n">
        <x:v>9615</x:v>
      </x:c>
      <x:c r="F56" t="n">
        <x:v>477</x:v>
      </x:c>
      <x:c r="G56" t="n">
        <x:v>22719</x:v>
      </x:c>
      <x:c r="H56" t="n">
        <x:v>22301.81</x:v>
      </x:c>
      <x:c r="I56" t="str">
        <x:v>0.0</x:v>
      </x:c>
      <x:c r="J56" t="n">
        <x:v>0</x:v>
      </x:c>
      <x:c r="K56" t="n">
        <x:v>3</x:v>
      </x:c>
    </x:row>
    <x:row r="57">
      <x:c r="A57" t="str">
        <x:v>P0181</x:v>
      </x:c>
      <x:c r="B57" t="str">
        <x:v>Packaging</x:v>
      </x:c>
      <x:c r="C57" t="str">
        <x:v>SUP049</x:v>
      </x:c>
      <x:c r="D57" t="n">
        <x:v>586549.19</x:v>
      </x:c>
      <x:c r="E57" t="n">
        <x:v>204</x:v>
      </x:c>
      <x:c r="F57" t="n">
        <x:v>17</x:v>
      </x:c>
      <x:c r="G57" t="n">
        <x:v>3661</x:v>
      </x:c>
      <x:c r="H57" t="n">
        <x:v>189233.52</x:v>
      </x:c>
      <x:c r="I57" t="str">
        <x:v>0.0</x:v>
      </x:c>
      <x:c r="J57" t="n">
        <x:v>570</x:v>
      </x:c>
      <x:c r="K57" t="n">
        <x:v>1</x:v>
      </x:c>
    </x:row>
    <x:row r="58">
      <x:c r="A58" t="str">
        <x:v>P0089</x:v>
      </x:c>
      <x:c r="B58" t="str">
        <x:v>Beverages</x:v>
      </x:c>
      <x:c r="C58" t="str">
        <x:v>SUP019</x:v>
      </x:c>
      <x:c r="D58" t="n">
        <x:v>592923.56</x:v>
      </x:c>
      <x:c r="E58" t="n">
        <x:v>241</x:v>
      </x:c>
      <x:c r="F58" t="n">
        <x:v>14</x:v>
      </x:c>
      <x:c r="G58" t="n">
        <x:v>5229</x:v>
      </x:c>
      <x:c r="H58" t="n">
        <x:v>251533.36</x:v>
      </x:c>
      <x:c r="I58" t="str">
        <x:v>0.0</x:v>
      </x:c>
      <x:c r="J58" t="n">
        <x:v>1741</x:v>
      </x:c>
      <x:c r="K58" t="n">
        <x:v>0</x:v>
      </x:c>
    </x:row>
    <x:row r="59">
      <x:c r="A59" t="str">
        <x:v>P0294</x:v>
      </x:c>
      <x:c r="B59" t="str">
        <x:v>Hardware</x:v>
      </x:c>
      <x:c r="C59" t="str">
        <x:v>SUP053</x:v>
      </x:c>
      <x:c r="D59" t="n">
        <x:v>69175.1</x:v>
      </x:c>
      <x:c r="E59" t="n">
        <x:v>347</x:v>
      </x:c>
      <x:c r="F59" t="n">
        <x:v>31</x:v>
      </x:c>
      <x:c r="G59" t="n">
        <x:v>2649</x:v>
      </x:c>
      <x:c r="H59" t="n">
        <x:v>6646.09</x:v>
      </x:c>
      <x:c r="I59" t="str">
        <x:v>0.0</x:v>
      </x:c>
      <x:c r="J59" t="n">
        <x:v>0</x:v>
      </x:c>
      <x:c r="K59" t="n">
        <x:v>0</x:v>
      </x:c>
    </x:row>
    <x:row r="60">
      <x:c r="A60" t="str">
        <x:v>P0003</x:v>
      </x:c>
      <x:c r="B60" t="str">
        <x:v>Household</x:v>
      </x:c>
      <x:c r="C60" t="str">
        <x:v>SUP014</x:v>
      </x:c>
      <x:c r="D60" t="n">
        <x:v>2540936.88</x:v>
      </x:c>
      <x:c r="E60" t="n">
        <x:v>17936</x:v>
      </x:c>
      <x:c r="F60" t="n">
        <x:v>948</x:v>
      </x:c>
      <x:c r="G60" t="n">
        <x:v>33800</x:v>
      </x:c>
      <x:c r="H60" t="n">
        <x:v>93311.5</x:v>
      </x:c>
      <x:c r="I60" t="str">
        <x:v>0.0</x:v>
      </x:c>
      <x:c r="J60" t="n">
        <x:v>9</x:v>
      </x:c>
      <x:c r="K60" t="n">
        <x:v>2</x:v>
      </x:c>
    </x:row>
    <x:row r="61">
      <x:c r="A61" t="str">
        <x:v>P0001</x:v>
      </x:c>
      <x:c r="B61" t="str">
        <x:v>Beverages</x:v>
      </x:c>
      <x:c r="C61" t="str">
        <x:v>SUP053</x:v>
      </x:c>
      <x:c r="D61" t="n">
        <x:v>1349537.7</x:v>
      </x:c>
      <x:c r="E61" t="n">
        <x:v>27713</x:v>
      </x:c>
      <x:c r="F61" t="n">
        <x:v>1375</x:v>
      </x:c>
      <x:c r="G61" t="n">
        <x:v>59003</x:v>
      </x:c>
      <x:c r="H61" t="n">
        <x:v>87944.58</x:v>
      </x:c>
      <x:c r="I61" t="str">
        <x:v>0.0</x:v>
      </x:c>
      <x:c r="J61" t="n">
        <x:v>1894</x:v>
      </x:c>
      <x:c r="K61" t="n">
        <x:v>1</x:v>
      </x:c>
    </x:row>
    <x:row r="62">
      <x:c r="A62" t="str">
        <x:v>P0002</x:v>
      </x:c>
      <x:c r="B62" t="str">
        <x:v>Dry Grocery</x:v>
      </x:c>
      <x:c r="C62" t="str">
        <x:v>SUP030</x:v>
      </x:c>
      <x:c r="D62" t="n">
        <x:v>3494170.54</x:v>
      </x:c>
      <x:c r="E62" t="n">
        <x:v>16240</x:v>
      </x:c>
      <x:c r="F62" t="n">
        <x:v>812</x:v>
      </x:c>
      <x:c r="G62" t="n">
        <x:v>41874</x:v>
      </x:c>
      <x:c r="H62" t="n">
        <x:v>107592.3</x:v>
      </x:c>
      <x:c r="I62" t="str">
        <x:v>0.0</x:v>
      </x:c>
      <x:c r="J62" t="n">
        <x:v>0</x:v>
      </x:c>
      <x:c r="K62" t="n">
        <x:v>1</x:v>
      </x:c>
    </x:row>
    <x:row r="63">
      <x:c r="A63" t="str">
        <x:v>P0153</x:v>
      </x:c>
      <x:c r="B63" t="str">
        <x:v>Beverages</x:v>
      </x:c>
      <x:c r="C63" t="str">
        <x:v>SUP041</x:v>
      </x:c>
      <x:c r="D63" t="n">
        <x:v>234966.42</x:v>
      </x:c>
      <x:c r="E63" t="n">
        <x:v>126</x:v>
      </x:c>
      <x:c r="F63" t="n">
        <x:v>10</x:v>
      </x:c>
      <x:c r="G63" t="n">
        <x:v>3845</x:v>
      </x:c>
      <x:c r="H63" t="n">
        <x:v>132927.08</x:v>
      </x:c>
      <x:c r="I63" t="str">
        <x:v>0.0</x:v>
      </x:c>
      <x:c r="J63" t="n">
        <x:v>1464</x:v>
      </x:c>
      <x:c r="K63" t="n">
        <x:v>0</x:v>
      </x:c>
    </x:row>
    <x:row r="64">
      <x:c r="A64" t="str">
        <x:v>P0062</x:v>
      </x:c>
      <x:c r="B64" t="str">
        <x:v>Hardware</x:v>
      </x:c>
      <x:c r="C64" t="str">
        <x:v>SUP024</x:v>
      </x:c>
      <x:c r="D64" t="n">
        <x:v>466241.19</x:v>
      </x:c>
      <x:c r="E64" t="n">
        <x:v>1142</x:v>
      </x:c>
      <x:c r="F64" t="n">
        <x:v>74</x:v>
      </x:c>
      <x:c r="G64" t="n">
        <x:v>6559</x:v>
      </x:c>
      <x:c r="H64" t="n">
        <x:v>66183.75</x:v>
      </x:c>
      <x:c r="I64" t="str">
        <x:v>0.0</x:v>
      </x:c>
      <x:c r="J64" t="n">
        <x:v>0</x:v>
      </x:c>
      <x:c r="K64" t="n">
        <x:v>0</x:v>
      </x:c>
    </x:row>
    <x:row r="65">
      <x:c r="A65" t="str">
        <x:v>P0307</x:v>
      </x:c>
      <x:c r="B65" t="str">
        <x:v>Household</x:v>
      </x:c>
      <x:c r="C65" t="str">
        <x:v>SUP009</x:v>
      </x:c>
      <x:c r="D65" t="n">
        <x:v>479758.8</x:v>
      </x:c>
      <x:c r="E65" t="n">
        <x:v>102</x:v>
      </x:c>
      <x:c r="F65" t="n">
        <x:v>8</x:v>
      </x:c>
      <x:c r="G65" t="n">
        <x:v>3348</x:v>
      </x:c>
      <x:c r="H65" t="n">
        <x:v>465529.93</x:v>
      </x:c>
      <x:c r="I65" t="str">
        <x:v>0.0</x:v>
      </x:c>
      <x:c r="J65" t="n">
        <x:v>2782</x:v>
      </x:c>
      <x:c r="K65" t="n">
        <x:v>0</x:v>
      </x:c>
    </x:row>
    <x:row r="66">
      <x:c r="A66" t="str">
        <x:v>P0078</x:v>
      </x:c>
      <x:c r="B66" t="str">
        <x:v>Hardware</x:v>
      </x:c>
      <x:c r="C66" t="str">
        <x:v>SUP003</x:v>
      </x:c>
      <x:c r="D66" t="n">
        <x:v>571444.74</x:v>
      </x:c>
      <x:c r="E66" t="n">
        <x:v>1269</x:v>
      </x:c>
      <x:c r="F66" t="n">
        <x:v>98</x:v>
      </x:c>
      <x:c r="G66" t="n">
        <x:v>5660</x:v>
      </x:c>
      <x:c r="H66" t="n">
        <x:v>101416.93</x:v>
      </x:c>
      <x:c r="I66" t="str">
        <x:v>0.0</x:v>
      </x:c>
      <x:c r="J66" t="n">
        <x:v>0</x:v>
      </x:c>
      <x:c r="K66" t="n">
        <x:v>1</x:v>
      </x:c>
    </x:row>
    <x:row r="67">
      <x:c r="A67" t="str">
        <x:v>P0440</x:v>
      </x:c>
      <x:c r="B67" t="str">
        <x:v>Cleaning</x:v>
      </x:c>
      <x:c r="C67" t="str">
        <x:v>SUP062</x:v>
      </x:c>
      <x:c r="D67" t="n">
        <x:v>479719.84</x:v>
      </x:c>
      <x:c r="E67" t="n">
        <x:v>41</x:v>
      </x:c>
      <x:c r="F67" t="n">
        <x:v>5</x:v>
      </x:c>
      <x:c r="G67" t="n">
        <x:v>2805</x:v>
      </x:c>
      <x:c r="H67" t="n">
        <x:v>687176.88</x:v>
      </x:c>
      <x:c r="I67" t="str">
        <x:v>0.0</x:v>
      </x:c>
      <x:c r="J67" t="n">
        <x:v>3492</x:v>
      </x:c>
      <x:c r="K67" t="n">
        <x:v>0</x:v>
      </x:c>
    </x:row>
    <x:row r="68">
      <x:c r="A68" t="str">
        <x:v>P0372</x:v>
      </x:c>
      <x:c r="B68" t="str">
        <x:v>Personal Care</x:v>
      </x:c>
      <x:c r="C68" t="str">
        <x:v>SUP007</x:v>
      </x:c>
      <x:c r="D68" t="n">
        <x:v>121037.84</x:v>
      </x:c>
      <x:c r="E68" t="n">
        <x:v>88</x:v>
      </x:c>
      <x:c r="F68" t="n">
        <x:v>5</x:v>
      </x:c>
      <x:c r="G68" t="n">
        <x:v>2244</x:v>
      </x:c>
      <x:c r="H68" t="n">
        <x:v>89893.44</x:v>
      </x:c>
      <x:c r="I68" t="str">
        <x:v>0.0</x:v>
      </x:c>
      <x:c r="J68" t="n">
        <x:v>157</x:v>
      </x:c>
      <x:c r="K68" t="n">
        <x:v>0</x:v>
      </x:c>
    </x:row>
    <x:row r="69">
      <x:c r="A69" t="str">
        <x:v>P0220</x:v>
      </x:c>
      <x:c r="B69" t="str">
        <x:v>Personal Care</x:v>
      </x:c>
      <x:c r="C69" t="str">
        <x:v>SUP011</x:v>
      </x:c>
      <x:c r="D69" t="n">
        <x:v>290092.78</x:v>
      </x:c>
      <x:c r="E69" t="n">
        <x:v>140</x:v>
      </x:c>
      <x:c r="F69" t="n">
        <x:v>7</x:v>
      </x:c>
      <x:c r="G69" t="n">
        <x:v>2986</x:v>
      </x:c>
      <x:c r="H69" t="n">
        <x:v>481512.95</x:v>
      </x:c>
      <x:c r="I69" t="str">
        <x:v>0.0</x:v>
      </x:c>
      <x:c r="J69" t="n">
        <x:v>2877</x:v>
      </x:c>
      <x:c r="K69" t="n">
        <x:v>0</x:v>
      </x:c>
    </x:row>
    <x:row r="70">
      <x:c r="A70" t="str">
        <x:v>P0074</x:v>
      </x:c>
      <x:c r="B70" t="str">
        <x:v>Dry Grocery</x:v>
      </x:c>
      <x:c r="C70" t="str">
        <x:v>SUP057</x:v>
      </x:c>
      <x:c r="D70" t="n">
        <x:v>378889.38</x:v>
      </x:c>
      <x:c r="E70" t="n">
        <x:v>617</x:v>
      </x:c>
      <x:c r="F70" t="n">
        <x:v>36</x:v>
      </x:c>
      <x:c r="G70" t="n">
        <x:v>6071</x:v>
      </x:c>
      <x:c r="H70" t="n">
        <x:v>58774.23</x:v>
      </x:c>
      <x:c r="I70" t="str">
        <x:v>0.0</x:v>
      </x:c>
      <x:c r="J70" t="n">
        <x:v>0</x:v>
      </x:c>
      <x:c r="K70" t="n">
        <x:v>0</x:v>
      </x:c>
    </x:row>
    <x:row r="71">
      <x:c r="A71" t="str">
        <x:v>P0024</x:v>
      </x:c>
      <x:c r="B71" t="str">
        <x:v>Cleaning</x:v>
      </x:c>
      <x:c r="C71" t="str">
        <x:v>SUP017</x:v>
      </x:c>
      <x:c r="D71" t="n">
        <x:v>597921.28</x:v>
      </x:c>
      <x:c r="E71" t="n">
        <x:v>364</x:v>
      </x:c>
      <x:c r="F71" t="n">
        <x:v>18</x:v>
      </x:c>
      <x:c r="G71" t="n">
        <x:v>10356</x:v>
      </x:c>
      <x:c r="H71" t="n">
        <x:v>687938.94</x:v>
      </x:c>
      <x:c r="I71" t="str">
        <x:v>0.0</x:v>
      </x:c>
      <x:c r="J71" t="n">
        <x:v>10804</x:v>
      </x:c>
      <x:c r="K71" t="n">
        <x:v>0</x:v>
      </x:c>
    </x:row>
    <x:row r="72">
      <x:c r="A72" t="str">
        <x:v>P0287</x:v>
      </x:c>
      <x:c r="B72" t="str">
        <x:v>Electrical</x:v>
      </x:c>
      <x:c r="C72" t="str">
        <x:v>SUP052</x:v>
      </x:c>
      <x:c r="D72" t="n">
        <x:v>473980.68</x:v>
      </x:c>
      <x:c r="E72" t="n">
        <x:v>787</x:v>
      </x:c>
      <x:c r="F72" t="n">
        <x:v>51</x:v>
      </x:c>
      <x:c r="G72" t="n">
        <x:v>3263</x:v>
      </x:c>
      <x:c r="H72" t="n">
        <x:v>213786.9</x:v>
      </x:c>
      <x:c r="I72" t="str">
        <x:v>0.0</x:v>
      </x:c>
      <x:c r="J72" t="n">
        <x:v>0</x:v>
      </x:c>
      <x:c r="K72" t="n">
        <x:v>0</x:v>
      </x:c>
    </x:row>
    <x:row r="73">
      <x:c r="A73" t="str">
        <x:v>P0048</x:v>
      </x:c>
      <x:c r="B73" t="str">
        <x:v>Cleaning</x:v>
      </x:c>
      <x:c r="C73" t="str">
        <x:v>SUP016</x:v>
      </x:c>
      <x:c r="D73" t="n">
        <x:v>1312408.08</x:v>
      </x:c>
      <x:c r="E73" t="n">
        <x:v>119</x:v>
      </x:c>
      <x:c r="F73" t="n">
        <x:v>8</x:v>
      </x:c>
      <x:c r="G73" t="n">
        <x:v>7167</x:v>
      </x:c>
      <x:c r="H73" t="n">
        <x:v>1425574.96</x:v>
      </x:c>
      <x:c r="I73" t="str">
        <x:v>0.0</x:v>
      </x:c>
      <x:c r="J73" t="n">
        <x:v>8878</x:v>
      </x:c>
      <x:c r="K73" t="n">
        <x:v>0</x:v>
      </x:c>
    </x:row>
    <x:row r="74">
      <x:c r="A74" t="str">
        <x:v>P0092</x:v>
      </x:c>
      <x:c r="B74" t="str">
        <x:v>Personal Care</x:v>
      </x:c>
      <x:c r="C74" t="str">
        <x:v>SUP020</x:v>
      </x:c>
      <x:c r="D74" t="n">
        <x:v>336657.53</x:v>
      </x:c>
      <x:c r="E74" t="n">
        <x:v>1065</x:v>
      </x:c>
      <x:c r="F74" t="n">
        <x:v>75</x:v>
      </x:c>
      <x:c r="G74" t="n">
        <x:v>5546</x:v>
      </x:c>
      <x:c r="H74" t="n">
        <x:v>59671.81</x:v>
      </x:c>
      <x:c r="I74" t="str">
        <x:v>0.0</x:v>
      </x:c>
      <x:c r="J74" t="n">
        <x:v>52</x:v>
      </x:c>
      <x:c r="K74" t="n">
        <x:v>2</x:v>
      </x:c>
    </x:row>
    <x:row r="75">
      <x:c r="A75" t="str">
        <x:v>P0242</x:v>
      </x:c>
      <x:c r="B75" t="str">
        <x:v>Dry Grocery</x:v>
      </x:c>
      <x:c r="C75" t="str">
        <x:v>SUP045</x:v>
      </x:c>
      <x:c r="D75" t="n">
        <x:v>25697.12</x:v>
      </x:c>
      <x:c r="E75" t="n">
        <x:v>98</x:v>
      </x:c>
      <x:c r="F75" t="n">
        <x:v>11</x:v>
      </x:c>
      <x:c r="G75" t="n">
        <x:v>3100</x:v>
      </x:c>
      <x:c r="H75" t="n">
        <x:v>44727.1</x:v>
      </x:c>
      <x:c r="I75" t="str">
        <x:v>0.0</x:v>
      </x:c>
      <x:c r="J75" t="n">
        <x:v>4570</x:v>
      </x:c>
      <x:c r="K75" t="n">
        <x:v>0</x:v>
      </x:c>
    </x:row>
    <x:row r="76">
      <x:c r="A76" t="str">
        <x:v>P0174</x:v>
      </x:c>
      <x:c r="B76" t="str">
        <x:v>Hardware</x:v>
      </x:c>
      <x:c r="C76" t="str">
        <x:v>SUP058</x:v>
      </x:c>
      <x:c r="D76" t="n">
        <x:v>613472.1</x:v>
      </x:c>
      <x:c r="E76" t="n">
        <x:v>1225</x:v>
      </x:c>
      <x:c r="F76" t="n">
        <x:v>92</x:v>
      </x:c>
      <x:c r="G76" t="n">
        <x:v>4307</x:v>
      </x:c>
      <x:c r="H76" t="n">
        <x:v>49563.5</x:v>
      </x:c>
      <x:c r="I76" t="str">
        <x:v>0.0</x:v>
      </x:c>
      <x:c r="J76" t="n">
        <x:v>0</x:v>
      </x:c>
      <x:c r="K76" t="n">
        <x:v>3</x:v>
      </x:c>
    </x:row>
    <x:row r="77">
      <x:c r="A77" t="str">
        <x:v>P0029</x:v>
      </x:c>
      <x:c r="B77" t="str">
        <x:v>Packaging</x:v>
      </x:c>
      <x:c r="C77" t="str">
        <x:v>SUP040</x:v>
      </x:c>
      <x:c r="D77" t="n">
        <x:v>390938.73</x:v>
      </x:c>
      <x:c r="E77" t="n">
        <x:v>1417</x:v>
      </x:c>
      <x:c r="F77" t="n">
        <x:v>92</x:v>
      </x:c>
      <x:c r="G77" t="n">
        <x:v>9516</x:v>
      </x:c>
      <x:c r="H77" t="n">
        <x:v>82148.88</x:v>
      </x:c>
      <x:c r="I77" t="str">
        <x:v>0.0</x:v>
      </x:c>
      <x:c r="J77" t="n">
        <x:v>761</x:v>
      </x:c>
      <x:c r="K77" t="n">
        <x:v>1</x:v>
      </x:c>
    </x:row>
    <x:row r="78">
      <x:c r="A78" t="str">
        <x:v>P0244</x:v>
      </x:c>
      <x:c r="B78" t="str">
        <x:v>Personal Care</x:v>
      </x:c>
      <x:c r="C78" t="str">
        <x:v>SUP017</x:v>
      </x:c>
      <x:c r="D78" t="n">
        <x:v>403095.65</x:v>
      </x:c>
      <x:c r="E78" t="n">
        <x:v>48</x:v>
      </x:c>
      <x:c r="F78" t="n">
        <x:v>4</x:v>
      </x:c>
      <x:c r="G78" t="n">
        <x:v>3035</x:v>
      </x:c>
      <x:c r="H78" t="n">
        <x:v>471627.87</x:v>
      </x:c>
      <x:c r="I78" t="str">
        <x:v>0.0</x:v>
      </x:c>
      <x:c r="J78" t="n">
        <x:v>3783</x:v>
      </x:c>
      <x:c r="K78" t="n">
        <x:v>0</x:v>
      </x:c>
    </x:row>
    <x:row r="79">
      <x:c r="A79" t="str">
        <x:v>P0064</x:v>
      </x:c>
      <x:c r="B79" t="str">
        <x:v>Cleaning</x:v>
      </x:c>
      <x:c r="C79" t="str">
        <x:v>SUP006</x:v>
      </x:c>
      <x:c r="D79" t="n">
        <x:v>359182.46</x:v>
      </x:c>
      <x:c r="E79" t="n">
        <x:v>329</x:v>
      </x:c>
      <x:c r="F79" t="n">
        <x:v>21</x:v>
      </x:c>
      <x:c r="G79" t="n">
        <x:v>6580</x:v>
      </x:c>
      <x:c r="H79" t="n">
        <x:v>195791.8</x:v>
      </x:c>
      <x:c r="I79" t="str">
        <x:v>0.0</x:v>
      </x:c>
      <x:c r="J79" t="n">
        <x:v>3140</x:v>
      </x:c>
      <x:c r="K79" t="n">
        <x:v>0</x:v>
      </x:c>
    </x:row>
    <x:row r="80">
      <x:c r="A80" t="str">
        <x:v>P0033</x:v>
      </x:c>
      <x:c r="B80" t="str">
        <x:v>Beverages</x:v>
      </x:c>
      <x:c r="C80" t="str">
        <x:v>SUP008</x:v>
      </x:c>
      <x:c r="D80" t="n">
        <x:v>407275</x:v>
      </x:c>
      <x:c r="E80" t="n">
        <x:v>2357</x:v>
      </x:c>
      <x:c r="F80" t="n">
        <x:v>167</x:v>
      </x:c>
      <x:c r="G80" t="n">
        <x:v>9232</x:v>
      </x:c>
      <x:c r="H80" t="n">
        <x:v>49807.78</x:v>
      </x:c>
      <x:c r="I80" t="str">
        <x:v>0.0</x:v>
      </x:c>
      <x:c r="J80" t="n">
        <x:v>0</x:v>
      </x:c>
      <x:c r="K80" t="n">
        <x:v>1</x:v>
      </x:c>
    </x:row>
    <x:row r="81">
      <x:c r="A81" t="str">
        <x:v>P0278</x:v>
      </x:c>
      <x:c r="B81" t="str">
        <x:v>Hardware</x:v>
      </x:c>
      <x:c r="C81" t="str">
        <x:v>SUP062</x:v>
      </x:c>
      <x:c r="D81" t="n">
        <x:v>567029.55</x:v>
      </x:c>
      <x:c r="E81" t="n">
        <x:v>122</x:v>
      </x:c>
      <x:c r="F81" t="n">
        <x:v>8</x:v>
      </x:c>
      <x:c r="G81" t="n">
        <x:v>3337</x:v>
      </x:c>
      <x:c r="H81" t="n">
        <x:v>821066.89</x:v>
      </x:c>
      <x:c r="I81" t="str">
        <x:v>0.0</x:v>
      </x:c>
      <x:c r="J81" t="n">
        <x:v>5541</x:v>
      </x:c>
      <x:c r="K81" t="n">
        <x:v>0</x:v>
      </x:c>
    </x:row>
    <x:row r="82">
      <x:c r="A82" t="str">
        <x:v>P0155</x:v>
      </x:c>
      <x:c r="B82" t="str">
        <x:v>Household</x:v>
      </x:c>
      <x:c r="C82" t="str">
        <x:v>SUP052</x:v>
      </x:c>
      <x:c r="D82" t="n">
        <x:v>549923.87</x:v>
      </x:c>
      <x:c r="E82" t="n">
        <x:v>577</x:v>
      </x:c>
      <x:c r="F82" t="n">
        <x:v>42</x:v>
      </x:c>
      <x:c r="G82" t="n">
        <x:v>3984</x:v>
      </x:c>
      <x:c r="H82" t="n">
        <x:v>223567.26</x:v>
      </x:c>
      <x:c r="I82" t="str">
        <x:v>0.0</x:v>
      </x:c>
      <x:c r="J82" t="n">
        <x:v>251</x:v>
      </x:c>
      <x:c r="K82" t="n">
        <x:v>1</x:v>
      </x:c>
    </x:row>
    <x:row r="83">
      <x:c r="A83" t="str">
        <x:v>P0374</x:v>
      </x:c>
      <x:c r="B83" t="str">
        <x:v>Hardware</x:v>
      </x:c>
      <x:c r="C83" t="str">
        <x:v>SUP047</x:v>
      </x:c>
      <x:c r="D83" t="n">
        <x:v>88177.64</x:v>
      </x:c>
      <x:c r="E83" t="n">
        <x:v>16</x:v>
      </x:c>
      <x:c r="F83" t="n">
        <x:v>2</x:v>
      </x:c>
      <x:c r="G83" t="n">
        <x:v>2930</x:v>
      </x:c>
      <x:c r="H83" t="n">
        <x:v>135817.24</x:v>
      </x:c>
      <x:c r="I83" t="str">
        <x:v>0.0</x:v>
      </x:c>
      <x:c r="J83" t="n">
        <x:v>3724</x:v>
      </x:c>
      <x:c r="K83" t="n">
        <x:v>0</x:v>
      </x:c>
    </x:row>
    <x:row r="84">
      <x:c r="A84" t="str">
        <x:v>P0221</x:v>
      </x:c>
      <x:c r="B84" t="str">
        <x:v>Packaging</x:v>
      </x:c>
      <x:c r="C84" t="str">
        <x:v>SUP043</x:v>
      </x:c>
      <x:c r="D84" t="n">
        <x:v>375006.08</x:v>
      </x:c>
      <x:c r="E84" t="n">
        <x:v>143</x:v>
      </x:c>
      <x:c r="F84" t="n">
        <x:v>11</x:v>
      </x:c>
      <x:c r="G84" t="n">
        <x:v>3519</x:v>
      </x:c>
      <x:c r="H84" t="n">
        <x:v>736867.06</x:v>
      </x:c>
      <x:c r="I84" t="str">
        <x:v>0.0</x:v>
      </x:c>
      <x:c r="J84" t="n">
        <x:v>5336</x:v>
      </x:c>
      <x:c r="K84" t="n">
        <x:v>0</x:v>
      </x:c>
    </x:row>
    <x:row r="85">
      <x:c r="A85" t="str">
        <x:v>P0236</x:v>
      </x:c>
      <x:c r="B85" t="str">
        <x:v>Personal Care</x:v>
      </x:c>
      <x:c r="C85" t="str">
        <x:v>SUP064</x:v>
      </x:c>
      <x:c r="D85" t="n">
        <x:v>213806.15</x:v>
      </x:c>
      <x:c r="E85" t="n">
        <x:v>109</x:v>
      </x:c>
      <x:c r="F85" t="n">
        <x:v>10</x:v>
      </x:c>
      <x:c r="G85" t="n">
        <x:v>3074</x:v>
      </x:c>
      <x:c r="H85" t="n">
        <x:v>65435.04</x:v>
      </x:c>
      <x:c r="I85" t="str">
        <x:v>0.0</x:v>
      </x:c>
      <x:c r="J85" t="n">
        <x:v>112</x:v>
      </x:c>
      <x:c r="K85" t="n">
        <x:v>0</x:v>
      </x:c>
    </x:row>
    <x:row r="86">
      <x:c r="A86" t="str">
        <x:v>P0084</x:v>
      </x:c>
      <x:c r="B86" t="str">
        <x:v>Personal Care</x:v>
      </x:c>
      <x:c r="C86" t="str">
        <x:v>SUP040</x:v>
      </x:c>
      <x:c r="D86" t="n">
        <x:v>711980.29</x:v>
      </x:c>
      <x:c r="E86" t="n">
        <x:v>546</x:v>
      </x:c>
      <x:c r="F86" t="n">
        <x:v>46</x:v>
      </x:c>
      <x:c r="G86" t="n">
        <x:v>5593</x:v>
      </x:c>
      <x:c r="H86" t="n">
        <x:v>169326.06</x:v>
      </x:c>
      <x:c r="I86" t="str">
        <x:v>0.0</x:v>
      </x:c>
      <x:c r="J86" t="n">
        <x:v>270</x:v>
      </x:c>
      <x:c r="K86" t="n">
        <x:v>1</x:v>
      </x:c>
    </x:row>
    <x:row r="87">
      <x:c r="A87" t="str">
        <x:v>P0273</x:v>
      </x:c>
      <x:c r="B87" t="str">
        <x:v>Beverages</x:v>
      </x:c>
      <x:c r="C87" t="str">
        <x:v>SUP011</x:v>
      </x:c>
      <x:c r="D87" t="n">
        <x:v>568948.14</x:v>
      </x:c>
      <x:c r="E87" t="n">
        <x:v>65</x:v>
      </x:c>
      <x:c r="F87" t="n">
        <x:v>6</x:v>
      </x:c>
      <x:c r="G87" t="n">
        <x:v>3188</x:v>
      </x:c>
      <x:c r="H87" t="n">
        <x:v>840789.84</x:v>
      </x:c>
      <x:c r="I87" t="str">
        <x:v>0.0</x:v>
      </x:c>
      <x:c r="J87" t="n">
        <x:v>4442</x:v>
      </x:c>
      <x:c r="K87" t="n">
        <x:v>0</x:v>
      </x:c>
    </x:row>
    <x:row r="88">
      <x:c r="A88" t="str">
        <x:v>P0112</x:v>
      </x:c>
      <x:c r="B88" t="str">
        <x:v>Cleaning</x:v>
      </x:c>
      <x:c r="C88" t="str">
        <x:v>SUP009</x:v>
      </x:c>
      <x:c r="D88" t="n">
        <x:v>751689.38</x:v>
      </x:c>
      <x:c r="E88" t="n">
        <x:v>203</x:v>
      </x:c>
      <x:c r="F88" t="n">
        <x:v>12</x:v>
      </x:c>
      <x:c r="G88" t="n">
        <x:v>4909</x:v>
      </x:c>
      <x:c r="H88" t="n">
        <x:v>761027.4</x:v>
      </x:c>
      <x:c r="I88" t="str">
        <x:v>0.0</x:v>
      </x:c>
      <x:c r="J88" t="n">
        <x:v>4144</x:v>
      </x:c>
      <x:c r="K88" t="n">
        <x:v>0</x:v>
      </x:c>
    </x:row>
    <x:row r="89">
      <x:c r="A89" t="str">
        <x:v>P0159</x:v>
      </x:c>
      <x:c r="B89" t="str">
        <x:v>Electrical</x:v>
      </x:c>
      <x:c r="C89" t="str">
        <x:v>SUP048</x:v>
      </x:c>
      <x:c r="D89" t="n">
        <x:v>612177.72</x:v>
      </x:c>
      <x:c r="E89" t="n">
        <x:v>868</x:v>
      </x:c>
      <x:c r="F89" t="n">
        <x:v>63</x:v>
      </x:c>
      <x:c r="G89" t="n">
        <x:v>4355</x:v>
      </x:c>
      <x:c r="H89" t="n">
        <x:v>258272.43</x:v>
      </x:c>
      <x:c r="I89" t="str">
        <x:v>0.0</x:v>
      </x:c>
      <x:c r="J89" t="n">
        <x:v>631</x:v>
      </x:c>
      <x:c r="K89" t="n">
        <x:v>1</x:v>
      </x:c>
    </x:row>
    <x:row r="90">
      <x:c r="A90" t="str">
        <x:v>P0043</x:v>
      </x:c>
      <x:c r="B90" t="str">
        <x:v>Household</x:v>
      </x:c>
      <x:c r="C90" t="str">
        <x:v>SUP018</x:v>
      </x:c>
      <x:c r="D90" t="n">
        <x:v>256001.76</x:v>
      </x:c>
      <x:c r="E90" t="n">
        <x:v>2277</x:v>
      </x:c>
      <x:c r="F90" t="n">
        <x:v>162</x:v>
      </x:c>
      <x:c r="G90" t="n">
        <x:v>7509</x:v>
      </x:c>
      <x:c r="H90" t="n">
        <x:v>14626.5</x:v>
      </x:c>
      <x:c r="I90" t="str">
        <x:v>0.0</x:v>
      </x:c>
      <x:c r="J90" t="n">
        <x:v>0</x:v>
      </x:c>
      <x:c r="K90" t="n">
        <x:v>2</x:v>
      </x:c>
    </x:row>
    <x:row r="91">
      <x:c r="A91" t="str">
        <x:v>P0035</x:v>
      </x:c>
      <x:c r="B91" t="str">
        <x:v>Household</x:v>
      </x:c>
      <x:c r="C91" t="str">
        <x:v>SUP035</x:v>
      </x:c>
      <x:c r="D91" t="n">
        <x:v>1571987.4</x:v>
      </x:c>
      <x:c r="E91" t="n">
        <x:v>375</x:v>
      </x:c>
      <x:c r="F91" t="n">
        <x:v>33</x:v>
      </x:c>
      <x:c r="G91" t="n">
        <x:v>8699</x:v>
      </x:c>
      <x:c r="H91" t="n">
        <x:v>291348.48</x:v>
      </x:c>
      <x:c r="I91" t="str">
        <x:v>0.0</x:v>
      </x:c>
      <x:c r="J91" t="n">
        <x:v>706</x:v>
      </x:c>
      <x:c r="K91" t="n">
        <x:v>0</x:v>
      </x:c>
    </x:row>
    <x:row r="92">
      <x:c r="A92" t="str">
        <x:v>P0183</x:v>
      </x:c>
      <x:c r="B92" t="str">
        <x:v>Electrical</x:v>
      </x:c>
      <x:c r="C92" t="str">
        <x:v>SUP059</x:v>
      </x:c>
      <x:c r="D92" t="n">
        <x:v>584165.92</x:v>
      </x:c>
      <x:c r="E92" t="n">
        <x:v>235</x:v>
      </x:c>
      <x:c r="F92" t="n">
        <x:v>17</x:v>
      </x:c>
      <x:c r="G92" t="n">
        <x:v>3681</x:v>
      </x:c>
      <x:c r="H92" t="n">
        <x:v>390539.08</x:v>
      </x:c>
      <x:c r="I92" t="str">
        <x:v>0.0</x:v>
      </x:c>
      <x:c r="J92" t="n">
        <x:v>1369</x:v>
      </x:c>
      <x:c r="K92" t="n">
        <x:v>0</x:v>
      </x:c>
    </x:row>
    <x:row r="93">
      <x:c r="A93" t="str">
        <x:v>P0470</x:v>
      </x:c>
      <x:c r="B93" t="str">
        <x:v>Hardware</x:v>
      </x:c>
      <x:c r="C93" t="str">
        <x:v>SUP057</x:v>
      </x:c>
      <x:c r="D93" t="n">
        <x:v>85886.58</x:v>
      </x:c>
      <x:c r="E93" t="n">
        <x:v>107</x:v>
      </x:c>
      <x:c r="F93" t="n">
        <x:v>8</x:v>
      </x:c>
      <x:c r="G93" t="n">
        <x:v>2044</x:v>
      </x:c>
      <x:c r="H93" t="n">
        <x:v>57091.77</x:v>
      </x:c>
      <x:c r="I93" t="str">
        <x:v>0.0</x:v>
      </x:c>
      <x:c r="J93" t="n">
        <x:v>281</x:v>
      </x:c>
      <x:c r="K93" t="n">
        <x:v>0</x:v>
      </x:c>
    </x:row>
    <x:row r="94">
      <x:c r="A94" t="str">
        <x:v>P0020</x:v>
      </x:c>
      <x:c r="B94" t="str">
        <x:v>Personal Care</x:v>
      </x:c>
      <x:c r="C94" t="str">
        <x:v>SUP038</x:v>
      </x:c>
      <x:c r="D94" t="n">
        <x:v>77558.88</x:v>
      </x:c>
      <x:c r="E94" t="n">
        <x:v>2163</x:v>
      </x:c>
      <x:c r="F94" t="n">
        <x:v>141</x:v>
      </x:c>
      <x:c r="G94" t="n">
        <x:v>11171</x:v>
      </x:c>
      <x:c r="H94" t="n">
        <x:v>12398.1</x:v>
      </x:c>
      <x:c r="I94" t="str">
        <x:v>0.0</x:v>
      </x:c>
      <x:c r="J94" t="n">
        <x:v>874</x:v>
      </x:c>
      <x:c r="K94" t="n">
        <x:v>2</x:v>
      </x:c>
    </x:row>
    <x:row r="95">
      <x:c r="A95" t="str">
        <x:v>P0289</x:v>
      </x:c>
      <x:c r="B95" t="str">
        <x:v>Beverages</x:v>
      </x:c>
      <x:c r="C95" t="str">
        <x:v>SUP029</x:v>
      </x:c>
      <x:c r="D95" t="n">
        <x:v>254605.05</x:v>
      </x:c>
      <x:c r="E95" t="n">
        <x:v>71</x:v>
      </x:c>
      <x:c r="F95" t="n">
        <x:v>5</x:v>
      </x:c>
      <x:c r="G95" t="n">
        <x:v>3156</x:v>
      </x:c>
      <x:c r="H95" t="n">
        <x:v>266008.32</x:v>
      </x:c>
      <x:c r="I95" t="str">
        <x:v>0.0</x:v>
      </x:c>
      <x:c r="J95" t="n">
        <x:v>2386</x:v>
      </x:c>
      <x:c r="K95" t="n">
        <x:v>0</x:v>
      </x:c>
    </x:row>
    <x:row r="96">
      <x:c r="A96" t="str">
        <x:v>P0327</x:v>
      </x:c>
      <x:c r="B96" t="str">
        <x:v>Electrical</x:v>
      </x:c>
      <x:c r="C96" t="str">
        <x:v>SUP058</x:v>
      </x:c>
      <x:c r="D96" t="n">
        <x:v>405912.06</x:v>
      </x:c>
      <x:c r="E96" t="n">
        <x:v>371</x:v>
      </x:c>
      <x:c r="F96" t="n">
        <x:v>40</x:v>
      </x:c>
      <x:c r="G96" t="n">
        <x:v>3125</x:v>
      </x:c>
      <x:c r="H96" t="n">
        <x:v>31514.08</x:v>
      </x:c>
      <x:c r="I96" t="str">
        <x:v>0.0</x:v>
      </x:c>
      <x:c r="J96" t="n">
        <x:v>0</x:v>
      </x:c>
      <x:c r="K96" t="n">
        <x:v>2</x:v>
      </x:c>
    </x:row>
    <x:row r="97">
      <x:c r="A97" t="str">
        <x:v>P0137</x:v>
      </x:c>
      <x:c r="B97" t="str">
        <x:v>Beverages</x:v>
      </x:c>
      <x:c r="C97" t="str">
        <x:v>SUP002</x:v>
      </x:c>
      <x:c r="D97" t="n">
        <x:v>300016.13</x:v>
      </x:c>
      <x:c r="E97" t="n">
        <x:v>250</x:v>
      </x:c>
      <x:c r="F97" t="n">
        <x:v>24</x:v>
      </x:c>
      <x:c r="G97" t="n">
        <x:v>3887</x:v>
      </x:c>
      <x:c r="H97" t="n">
        <x:v>92743.75</x:v>
      </x:c>
      <x:c r="I97" t="str">
        <x:v>0.0</x:v>
      </x:c>
      <x:c r="J97" t="n">
        <x:v>334</x:v>
      </x:c>
      <x:c r="K97" t="n">
        <x:v>0</x:v>
      </x:c>
    </x:row>
    <x:row r="98">
      <x:c r="A98" t="str">
        <x:v>P0104</x:v>
      </x:c>
      <x:c r="B98" t="str">
        <x:v>Cleaning</x:v>
      </x:c>
      <x:c r="C98" t="str">
        <x:v>SUP050</x:v>
      </x:c>
      <x:c r="D98" t="n">
        <x:v>82203.81</x:v>
      </x:c>
      <x:c r="E98" t="n">
        <x:v>170</x:v>
      </x:c>
      <x:c r="F98" t="n">
        <x:v>10</x:v>
      </x:c>
      <x:c r="G98" t="n">
        <x:v>4997</x:v>
      </x:c>
      <x:c r="H98" t="n">
        <x:v>42759.07</x:v>
      </x:c>
      <x:c r="I98" t="str">
        <x:v>0.0</x:v>
      </x:c>
      <x:c r="J98" t="n">
        <x:v>1447</x:v>
      </x:c>
      <x:c r="K98" t="n">
        <x:v>0</x:v>
      </x:c>
    </x:row>
    <x:row r="99">
      <x:c r="A99" t="str">
        <x:v>P0087</x:v>
      </x:c>
      <x:c r="B99" t="str">
        <x:v>Electrical</x:v>
      </x:c>
      <x:c r="C99" t="str">
        <x:v>SUP038</x:v>
      </x:c>
      <x:c r="D99" t="n">
        <x:v>552148.55</x:v>
      </x:c>
      <x:c r="E99" t="n">
        <x:v>253</x:v>
      </x:c>
      <x:c r="F99" t="n">
        <x:v>19</x:v>
      </x:c>
      <x:c r="G99" t="n">
        <x:v>5858</x:v>
      </x:c>
      <x:c r="H99" t="n">
        <x:v>92846.4</x:v>
      </x:c>
      <x:c r="I99" t="str">
        <x:v>0.0</x:v>
      </x:c>
      <x:c r="J99" t="n">
        <x:v>294</x:v>
      </x:c>
      <x:c r="K99" t="n">
        <x:v>1</x:v>
      </x:c>
    </x:row>
    <x:row r="100">
      <x:c r="A100" t="str">
        <x:v>P0012</x:v>
      </x:c>
      <x:c r="B100" t="str">
        <x:v>Personal Care</x:v>
      </x:c>
      <x:c r="C100" t="str">
        <x:v>SUP036</x:v>
      </x:c>
      <x:c r="D100" t="n">
        <x:v>2243371.2</x:v>
      </x:c>
      <x:c r="E100" t="n">
        <x:v>2757</x:v>
      </x:c>
      <x:c r="F100" t="n">
        <x:v>96</x:v>
      </x:c>
      <x:c r="G100" t="n">
        <x:v>17677</x:v>
      </x:c>
      <x:c r="H100" t="n">
        <x:v>1581069.87</x:v>
      </x:c>
      <x:c r="I100" t="str">
        <x:v>0.0</x:v>
      </x:c>
      <x:c r="J100" t="n">
        <x:v>11449</x:v>
      </x:c>
      <x:c r="K100" t="n">
        <x:v>1</x:v>
      </x:c>
    </x:row>
    <x:row r="101">
      <x:c r="A101" t="str">
        <x:v>P0205</x:v>
      </x:c>
      <x:c r="B101" t="str">
        <x:v>Packaging</x:v>
      </x:c>
      <x:c r="C101" t="str">
        <x:v>SUP063</x:v>
      </x:c>
      <x:c r="D101" t="n">
        <x:v>390700.8</x:v>
      </x:c>
      <x:c r="E101" t="n">
        <x:v>54</x:v>
      </x:c>
      <x:c r="F101" t="n">
        <x:v>6</x:v>
      </x:c>
      <x:c r="G101" t="n">
        <x:v>3645</x:v>
      </x:c>
      <x:c r="H101" t="n">
        <x:v>460875.42</x:v>
      </x:c>
      <x:c r="I101" t="str">
        <x:v>0.0</x:v>
      </x:c>
      <x:c r="J101" t="n">
        <x:v>4177</x:v>
      </x:c>
      <x:c r="K101" t="n">
        <x:v>0</x:v>
      </x:c>
    </x:row>
    <x:row r="102">
      <x:c r="A102" t="str">
        <x:v>P0151</x:v>
      </x:c>
      <x:c r="B102" t="str">
        <x:v>Electrical</x:v>
      </x:c>
      <x:c r="C102" t="str">
        <x:v>SUP060</x:v>
      </x:c>
      <x:c r="D102" t="n">
        <x:v>723120.84</x:v>
      </x:c>
      <x:c r="E102" t="n">
        <x:v>63</x:v>
      </x:c>
      <x:c r="F102" t="n">
        <x:v>6</x:v>
      </x:c>
      <x:c r="G102" t="n">
        <x:v>4821</x:v>
      </x:c>
      <x:c r="H102" t="n">
        <x:v>983182.06</x:v>
      </x:c>
      <x:c r="I102" t="str">
        <x:v>0.0</x:v>
      </x:c>
      <x:c r="J102" t="n">
        <x:v>5424</x:v>
      </x:c>
      <x:c r="K102" t="n">
        <x:v>0</x:v>
      </x:c>
    </x:row>
    <x:row r="103">
      <x:c r="A103" t="str">
        <x:v>P0046</x:v>
      </x:c>
      <x:c r="B103" t="str">
        <x:v>Hardware</x:v>
      </x:c>
      <x:c r="C103" t="str">
        <x:v>SUP014</x:v>
      </x:c>
      <x:c r="D103" t="n">
        <x:v>62080.2</x:v>
      </x:c>
      <x:c r="E103" t="n">
        <x:v>2519</x:v>
      </x:c>
      <x:c r="F103" t="n">
        <x:v>185</x:v>
      </x:c>
      <x:c r="G103" t="n">
        <x:v>7825</x:v>
      </x:c>
      <x:c r="H103" t="n">
        <x:v>9458.96</x:v>
      </x:c>
      <x:c r="I103" t="str">
        <x:v>0.0</x:v>
      </x:c>
      <x:c r="J103" t="n">
        <x:v>40</x:v>
      </x:c>
      <x:c r="K103" t="n">
        <x:v>0</x:v>
      </x:c>
    </x:row>
    <x:row r="104">
      <x:c r="A104" t="str">
        <x:v>P0300</x:v>
      </x:c>
      <x:c r="B104" t="str">
        <x:v>Personal Care</x:v>
      </x:c>
      <x:c r="C104" t="str">
        <x:v>SUP025</x:v>
      </x:c>
      <x:c r="D104" t="n">
        <x:v>402966.98</x:v>
      </x:c>
      <x:c r="E104" t="n">
        <x:v>107</x:v>
      </x:c>
      <x:c r="F104" t="n">
        <x:v>5</x:v>
      </x:c>
      <x:c r="G104" t="n">
        <x:v>2980</x:v>
      </x:c>
      <x:c r="H104" t="n">
        <x:v>426485.1</x:v>
      </x:c>
      <x:c r="I104" t="str">
        <x:v>0.0</x:v>
      </x:c>
      <x:c r="J104" t="n">
        <x:v>3085</x:v>
      </x:c>
      <x:c r="K104" t="n">
        <x:v>0</x:v>
      </x:c>
    </x:row>
    <x:row r="105">
      <x:c r="A105" t="str">
        <x:v>P0426</x:v>
      </x:c>
      <x:c r="B105" t="str">
        <x:v>Dry Grocery</x:v>
      </x:c>
      <x:c r="C105" t="str">
        <x:v>SUP006</x:v>
      </x:c>
      <x:c r="D105" t="n">
        <x:v>135319.68</x:v>
      </x:c>
      <x:c r="E105" t="n">
        <x:v>253</x:v>
      </x:c>
      <x:c r="F105" t="n">
        <x:v>19</x:v>
      </x:c>
      <x:c r="G105" t="n">
        <x:v>2545</x:v>
      </x:c>
      <x:c r="H105" t="n">
        <x:v>75511.68</x:v>
      </x:c>
      <x:c r="I105" t="str">
        <x:v>0.0</x:v>
      </x:c>
      <x:c r="J105" t="n">
        <x:v>637</x:v>
      </x:c>
      <x:c r="K105" t="n">
        <x:v>1</x:v>
      </x:c>
    </x:row>
    <x:row r="106">
      <x:c r="A106" t="str">
        <x:v>P0071</x:v>
      </x:c>
      <x:c r="B106" t="str">
        <x:v>Electrical</x:v>
      </x:c>
      <x:c r="C106" t="str">
        <x:v>SUP002</x:v>
      </x:c>
      <x:c r="D106" t="n">
        <x:v>503948.9</x:v>
      </x:c>
      <x:c r="E106" t="n">
        <x:v>1270</x:v>
      </x:c>
      <x:c r="F106" t="n">
        <x:v>88</x:v>
      </x:c>
      <x:c r="G106" t="n">
        <x:v>6405</x:v>
      </x:c>
      <x:c r="H106" t="n">
        <x:v>82619.52</x:v>
      </x:c>
      <x:c r="I106" t="str">
        <x:v>0.0</x:v>
      </x:c>
      <x:c r="J106" t="n">
        <x:v>0</x:v>
      </x:c>
      <x:c r="K106" t="n">
        <x:v>2</x:v>
      </x:c>
    </x:row>
    <x:row r="107">
      <x:c r="A107" t="str">
        <x:v>P0070</x:v>
      </x:c>
      <x:c r="B107" t="str">
        <x:v>Hardware</x:v>
      </x:c>
      <x:c r="C107" t="str">
        <x:v>SUP048</x:v>
      </x:c>
      <x:c r="D107" t="n">
        <x:v>521902.7</x:v>
      </x:c>
      <x:c r="E107" t="n">
        <x:v>467</x:v>
      </x:c>
      <x:c r="F107" t="n">
        <x:v>22</x:v>
      </x:c>
      <x:c r="G107" t="n">
        <x:v>6418</x:v>
      </x:c>
      <x:c r="H107" t="n">
        <x:v>249305.01</x:v>
      </x:c>
      <x:c r="I107" t="str">
        <x:v>0.0</x:v>
      </x:c>
      <x:c r="J107" t="n">
        <x:v>1445</x:v>
      </x:c>
      <x:c r="K107" t="n">
        <x:v>0</x:v>
      </x:c>
    </x:row>
    <x:row r="108">
      <x:c r="A108" t="str">
        <x:v>P0338</x:v>
      </x:c>
      <x:c r="B108" t="str">
        <x:v>Dry Grocery</x:v>
      </x:c>
      <x:c r="C108" t="str">
        <x:v>SUP054</x:v>
      </x:c>
      <x:c r="D108" t="n">
        <x:v>164853.04</x:v>
      </x:c>
      <x:c r="E108" t="n">
        <x:v>135</x:v>
      </x:c>
      <x:c r="F108" t="n">
        <x:v>13</x:v>
      </x:c>
      <x:c r="G108" t="n">
        <x:v>2863</x:v>
      </x:c>
      <x:c r="H108" t="n">
        <x:v>87067.84</x:v>
      </x:c>
      <x:c r="I108" t="str">
        <x:v>0.0</x:v>
      </x:c>
      <x:c r="J108" t="n">
        <x:v>652</x:v>
      </x:c>
      <x:c r="K108" t="n">
        <x:v>0</x:v>
      </x:c>
    </x:row>
    <x:row r="109">
      <x:c r="A109" t="str">
        <x:v>P0072</x:v>
      </x:c>
      <x:c r="B109" t="str">
        <x:v>Cleaning</x:v>
      </x:c>
      <x:c r="C109" t="str">
        <x:v>SUP004</x:v>
      </x:c>
      <x:c r="D109" t="n">
        <x:v>294688.57</x:v>
      </x:c>
      <x:c r="E109" t="n">
        <x:v>1016</x:v>
      </x:c>
      <x:c r="F109" t="n">
        <x:v>81</x:v>
      </x:c>
      <x:c r="G109" t="n">
        <x:v>6373</x:v>
      </x:c>
      <x:c r="H109" t="n">
        <x:v>83149.74</x:v>
      </x:c>
      <x:c r="I109" t="str">
        <x:v>0.0</x:v>
      </x:c>
      <x:c r="J109" t="n">
        <x:v>744</x:v>
      </x:c>
      <x:c r="K109" t="n">
        <x:v>1</x:v>
      </x:c>
    </x:row>
    <x:row r="110">
      <x:c r="A110" t="str">
        <x:v>P0293</x:v>
      </x:c>
      <x:c r="B110" t="str">
        <x:v>Packaging</x:v>
      </x:c>
      <x:c r="C110" t="str">
        <x:v>SUP018</x:v>
      </x:c>
      <x:c r="D110" t="n">
        <x:v>358335.3</x:v>
      </x:c>
      <x:c r="E110" t="n">
        <x:v>76</x:v>
      </x:c>
      <x:c r="F110" t="n">
        <x:v>5</x:v>
      </x:c>
      <x:c r="G110" t="n">
        <x:v>2842</x:v>
      </x:c>
      <x:c r="H110" t="n">
        <x:v>223127.77</x:v>
      </x:c>
      <x:c r="I110" t="str">
        <x:v>0.0</x:v>
      </x:c>
      <x:c r="J110" t="n">
        <x:v>239</x:v>
      </x:c>
      <x:c r="K110" t="n">
        <x:v>0</x:v>
      </x:c>
    </x:row>
    <x:row r="111">
      <x:c r="A111" t="str">
        <x:v>P0473</x:v>
      </x:c>
      <x:c r="B111" t="str">
        <x:v>Beverages</x:v>
      </x:c>
      <x:c r="C111" t="str">
        <x:v>SUP024</x:v>
      </x:c>
      <x:c r="D111" t="n">
        <x:v>56206.11</x:v>
      </x:c>
      <x:c r="E111" t="n">
        <x:v>288</x:v>
      </x:c>
      <x:c r="F111" t="n">
        <x:v>23</x:v>
      </x:c>
      <x:c r="G111" t="n">
        <x:v>2265</x:v>
      </x:c>
      <x:c r="H111" t="n">
        <x:v>5760.38</x:v>
      </x:c>
      <x:c r="I111" t="str">
        <x:v>0.0</x:v>
      </x:c>
      <x:c r="J111" t="n">
        <x:v>0</x:v>
      </x:c>
      <x:c r="K111" t="n">
        <x:v>2</x:v>
      </x:c>
    </x:row>
    <x:row r="112">
      <x:c r="A112" t="str">
        <x:v>P0392</x:v>
      </x:c>
      <x:c r="B112" t="str">
        <x:v>Cleaning</x:v>
      </x:c>
      <x:c r="C112" t="str">
        <x:v>SUP052</x:v>
      </x:c>
      <x:c r="D112" t="n">
        <x:v>219108.4</x:v>
      </x:c>
      <x:c r="E112" t="n">
        <x:v>542</x:v>
      </x:c>
      <x:c r="F112" t="n">
        <x:v>35</x:v>
      </x:c>
      <x:c r="G112" t="n">
        <x:v>2502</x:v>
      </x:c>
      <x:c r="H112" t="n">
        <x:v>214051.14</x:v>
      </x:c>
      <x:c r="I112" t="str">
        <x:v>0.0</x:v>
      </x:c>
      <x:c r="J112" t="n">
        <x:v>603</x:v>
      </x:c>
      <x:c r="K112" t="n">
        <x:v>0</x:v>
      </x:c>
    </x:row>
    <x:row r="113">
      <x:c r="A113" t="str">
        <x:v>P0040</x:v>
      </x:c>
      <x:c r="B113" t="str">
        <x:v>Cleaning</x:v>
      </x:c>
      <x:c r="C113" t="str">
        <x:v>SUP020</x:v>
      </x:c>
      <x:c r="D113" t="n">
        <x:v>1031032.88</x:v>
      </x:c>
      <x:c r="E113" t="n">
        <x:v>1701</x:v>
      </x:c>
      <x:c r="F113" t="n">
        <x:v>129</x:v>
      </x:c>
      <x:c r="G113" t="n">
        <x:v>7709</x:v>
      </x:c>
      <x:c r="H113" t="n">
        <x:v>57462.21</x:v>
      </x:c>
      <x:c r="I113" t="str">
        <x:v>0.0</x:v>
      </x:c>
      <x:c r="J113" t="n">
        <x:v>0</x:v>
      </x:c>
      <x:c r="K113" t="n">
        <x:v>2</x:v>
      </x:c>
    </x:row>
    <x:row r="114">
      <x:c r="A114" t="str">
        <x:v>P0302</x:v>
      </x:c>
      <x:c r="B114" t="str">
        <x:v>Hardware</x:v>
      </x:c>
      <x:c r="C114" t="str">
        <x:v>SUP004</x:v>
      </x:c>
      <x:c r="D114" t="n">
        <x:v>172224.34</x:v>
      </x:c>
      <x:c r="E114" t="n">
        <x:v>84</x:v>
      </x:c>
      <x:c r="F114" t="n">
        <x:v>7</x:v>
      </x:c>
      <x:c r="G114" t="n">
        <x:v>3058</x:v>
      </x:c>
      <x:c r="H114" t="n">
        <x:v>96247.53</x:v>
      </x:c>
      <x:c r="I114" t="str">
        <x:v>0.0</x:v>
      </x:c>
      <x:c r="J114" t="n">
        <x:v>737</x:v>
      </x:c>
      <x:c r="K114" t="n">
        <x:v>0</x:v>
      </x:c>
    </x:row>
    <x:row r="115">
      <x:c r="A115" t="str">
        <x:v>P0121</x:v>
      </x:c>
      <x:c r="B115" t="str">
        <x:v>Beverages</x:v>
      </x:c>
      <x:c r="C115" t="str">
        <x:v>SUP018</x:v>
      </x:c>
      <x:c r="D115" t="n">
        <x:v>513477.09</x:v>
      </x:c>
      <x:c r="E115" t="n">
        <x:v>1367</x:v>
      </x:c>
      <x:c r="F115" t="n">
        <x:v>94</x:v>
      </x:c>
      <x:c r="G115" t="n">
        <x:v>4958</x:v>
      </x:c>
      <x:c r="H115" t="n">
        <x:v>60459.48</x:v>
      </x:c>
      <x:c r="I115" t="str">
        <x:v>0.0</x:v>
      </x:c>
      <x:c r="J115" t="n">
        <x:v>165</x:v>
      </x:c>
      <x:c r="K115" t="n">
        <x:v>1</x:v>
      </x:c>
    </x:row>
    <x:row r="116">
      <x:c r="A116" t="str">
        <x:v>P0225</x:v>
      </x:c>
      <x:c r="B116" t="str">
        <x:v>Beverages</x:v>
      </x:c>
      <x:c r="C116" t="str">
        <x:v>SUP064</x:v>
      </x:c>
      <x:c r="D116" t="n">
        <x:v>270363.42</x:v>
      </x:c>
      <x:c r="E116" t="n">
        <x:v>280</x:v>
      </x:c>
      <x:c r="F116" t="n">
        <x:v>23</x:v>
      </x:c>
      <x:c r="G116" t="n">
        <x:v>3469</x:v>
      </x:c>
      <x:c r="H116" t="n">
        <x:v>106064.8</x:v>
      </x:c>
      <x:c r="I116" t="str">
        <x:v>0.0</x:v>
      </x:c>
      <x:c r="J116" t="n">
        <x:v>909</x:v>
      </x:c>
      <x:c r="K116" t="n">
        <x:v>0</x:v>
      </x:c>
    </x:row>
    <x:row r="117">
      <x:c r="A117" t="str">
        <x:v>P0091</x:v>
      </x:c>
      <x:c r="B117" t="str">
        <x:v>Household</x:v>
      </x:c>
      <x:c r="C117" t="str">
        <x:v>SUP029</x:v>
      </x:c>
      <x:c r="D117" t="n">
        <x:v>863048.95</x:v>
      </x:c>
      <x:c r="E117" t="n">
        <x:v>421</x:v>
      </x:c>
      <x:c r="F117" t="n">
        <x:v>34</x:v>
      </x:c>
      <x:c r="G117" t="n">
        <x:v>6060</x:v>
      </x:c>
      <x:c r="H117" t="n">
        <x:v>688975.35</x:v>
      </x:c>
      <x:c r="I117" t="str">
        <x:v>0.0</x:v>
      </x:c>
      <x:c r="J117" t="n">
        <x:v>4004</x:v>
      </x:c>
      <x:c r="K117" t="n">
        <x:v>0</x:v>
      </x:c>
    </x:row>
    <x:row r="118">
      <x:c r="A118" t="str">
        <x:v>P0472</x:v>
      </x:c>
      <x:c r="B118" t="str">
        <x:v>Cleaning</x:v>
      </x:c>
      <x:c r="C118" t="str">
        <x:v>SUP045</x:v>
      </x:c>
      <x:c r="D118" t="n">
        <x:v>318759.72</x:v>
      </x:c>
      <x:c r="E118" t="n">
        <x:v>38</x:v>
      </x:c>
      <x:c r="F118" t="n">
        <x:v>3</x:v>
      </x:c>
      <x:c r="G118" t="n">
        <x:v>2730</x:v>
      </x:c>
      <x:c r="H118" t="n">
        <x:v>470405.62</x:v>
      </x:c>
      <x:c r="I118" t="str">
        <x:v>0.0</x:v>
      </x:c>
      <x:c r="J118" t="n">
        <x:v>3051</x:v>
      </x:c>
      <x:c r="K118" t="n">
        <x:v>0</x:v>
      </x:c>
    </x:row>
    <x:row r="119">
      <x:c r="A119" t="str">
        <x:v>P0207</x:v>
      </x:c>
      <x:c r="B119" t="str">
        <x:v>Electrical</x:v>
      </x:c>
      <x:c r="C119" t="str">
        <x:v>SUP039</x:v>
      </x:c>
      <x:c r="D119" t="n">
        <x:v>770681</x:v>
      </x:c>
      <x:c r="E119" t="n">
        <x:v>126</x:v>
      </x:c>
      <x:c r="F119" t="n">
        <x:v>8</x:v>
      </x:c>
      <x:c r="G119" t="n">
        <x:v>3991</x:v>
      </x:c>
      <x:c r="H119" t="n">
        <x:v>864444.35</x:v>
      </x:c>
      <x:c r="I119" t="str">
        <x:v>0.0</x:v>
      </x:c>
      <x:c r="J119" t="n">
        <x:v>4645</x:v>
      </x:c>
      <x:c r="K119" t="n">
        <x:v>0</x:v>
      </x:c>
    </x:row>
    <x:row r="120">
      <x:c r="A120" t="str">
        <x:v>P0100</x:v>
      </x:c>
      <x:c r="B120" t="str">
        <x:v>Personal Care</x:v>
      </x:c>
      <x:c r="C120" t="str">
        <x:v>SUP058</x:v>
      </x:c>
      <x:c r="D120" t="n">
        <x:v>487812.99</x:v>
      </x:c>
      <x:c r="E120" t="n">
        <x:v>1485</x:v>
      </x:c>
      <x:c r="F120" t="n">
        <x:v>106</x:v>
      </x:c>
      <x:c r="G120" t="n">
        <x:v>4746</x:v>
      </x:c>
      <x:c r="H120" t="n">
        <x:v>101993.76</x:v>
      </x:c>
      <x:c r="I120" t="str">
        <x:v>0.0</x:v>
      </x:c>
      <x:c r="J120" t="n">
        <x:v>49</x:v>
      </x:c>
      <x:c r="K120" t="n">
        <x:v>1</x:v>
      </x:c>
    </x:row>
    <x:row r="121">
      <x:c r="A121" t="str">
        <x:v>P0228</x:v>
      </x:c>
      <x:c r="B121" t="str">
        <x:v>Personal Care</x:v>
      </x:c>
      <x:c r="C121" t="str">
        <x:v>SUP060</x:v>
      </x:c>
      <x:c r="D121" t="n">
        <x:v>19695.09</x:v>
      </x:c>
      <x:c r="E121" t="n">
        <x:v>86</x:v>
      </x:c>
      <x:c r="F121" t="n">
        <x:v>6</x:v>
      </x:c>
      <x:c r="G121" t="n">
        <x:v>3149</x:v>
      </x:c>
      <x:c r="H121" t="n">
        <x:v>36009.47</x:v>
      </x:c>
      <x:c r="I121" t="str">
        <x:v>0.0</x:v>
      </x:c>
      <x:c r="J121" t="n">
        <x:v>5679</x:v>
      </x:c>
      <x:c r="K121" t="n">
        <x:v>0</x:v>
      </x:c>
    </x:row>
    <x:row r="122">
      <x:c r="A122" t="str">
        <x:v>P0238</x:v>
      </x:c>
      <x:c r="B122" t="str">
        <x:v>Hardware</x:v>
      </x:c>
      <x:c r="C122" t="str">
        <x:v>SUP058</x:v>
      </x:c>
      <x:c r="D122" t="n">
        <x:v>396114.72</x:v>
      </x:c>
      <x:c r="E122" t="n">
        <x:v>448</x:v>
      </x:c>
      <x:c r="F122" t="n">
        <x:v>28</x:v>
      </x:c>
      <x:c r="G122" t="n">
        <x:v>3664</x:v>
      </x:c>
      <x:c r="H122" t="n">
        <x:v>135523.6</x:v>
      </x:c>
      <x:c r="I122" t="str">
        <x:v>0.0</x:v>
      </x:c>
      <x:c r="J122" t="n">
        <x:v>0</x:v>
      </x:c>
      <x:c r="K122" t="n">
        <x:v>1</x:v>
      </x:c>
    </x:row>
    <x:row r="123">
      <x:c r="A123" t="str">
        <x:v>P0452</x:v>
      </x:c>
      <x:c r="B123" t="str">
        <x:v>Personal Care</x:v>
      </x:c>
      <x:c r="C123" t="str">
        <x:v>SUP005</x:v>
      </x:c>
      <x:c r="D123" t="n">
        <x:v>398666.4</x:v>
      </x:c>
      <x:c r="E123" t="n">
        <x:v>99</x:v>
      </x:c>
      <x:c r="F123" t="n">
        <x:v>7</x:v>
      </x:c>
      <x:c r="G123" t="n">
        <x:v>2739</x:v>
      </x:c>
      <x:c r="H123" t="n">
        <x:v>280376.8</x:v>
      </x:c>
      <x:c r="I123" t="str">
        <x:v>0.0</x:v>
      </x:c>
      <x:c r="J123" t="n">
        <x:v>597</x:v>
      </x:c>
      <x:c r="K123" t="n">
        <x:v>0</x:v>
      </x:c>
    </x:row>
    <x:row r="124">
      <x:c r="A124" t="str">
        <x:v>P0041</x:v>
      </x:c>
      <x:c r="B124" t="str">
        <x:v>Beverages</x:v>
      </x:c>
      <x:c r="C124" t="str">
        <x:v>SUP050</x:v>
      </x:c>
      <x:c r="D124" t="n">
        <x:v>475675.68</x:v>
      </x:c>
      <x:c r="E124" t="n">
        <x:v>1107</x:v>
      </x:c>
      <x:c r="F124" t="n">
        <x:v>83</x:v>
      </x:c>
      <x:c r="G124" t="n">
        <x:v>8195</x:v>
      </x:c>
      <x:c r="H124" t="n">
        <x:v>131508</x:v>
      </x:c>
      <x:c r="I124" t="str">
        <x:v>0.0</x:v>
      </x:c>
      <x:c r="J124" t="n">
        <x:v>895</x:v>
      </x:c>
      <x:c r="K124" t="n">
        <x:v>0</x:v>
      </x:c>
    </x:row>
    <x:row r="125">
      <x:c r="A125" t="str">
        <x:v>P0295</x:v>
      </x:c>
      <x:c r="B125" t="str">
        <x:v>Electrical</x:v>
      </x:c>
      <x:c r="C125" t="str">
        <x:v>SUP008</x:v>
      </x:c>
      <x:c r="D125" t="n">
        <x:v>441637.2</x:v>
      </x:c>
      <x:c r="E125" t="n">
        <x:v>727</x:v>
      </x:c>
      <x:c r="F125" t="n">
        <x:v>45</x:v>
      </x:c>
      <x:c r="G125" t="n">
        <x:v>3407</x:v>
      </x:c>
      <x:c r="H125" t="n">
        <x:v>191983</x:v>
      </x:c>
      <x:c r="I125" t="str">
        <x:v>0.0</x:v>
      </x:c>
      <x:c r="J125" t="n">
        <x:v>134</x:v>
      </x:c>
      <x:c r="K125" t="n">
        <x:v>1</x:v>
      </x:c>
    </x:row>
    <x:row r="126">
      <x:c r="A126" t="str">
        <x:v>P0119</x:v>
      </x:c>
      <x:c r="B126" t="str">
        <x:v>Electrical</x:v>
      </x:c>
      <x:c r="C126" t="str">
        <x:v>SUP015</x:v>
      </x:c>
      <x:c r="D126" t="n">
        <x:v>860928</x:v>
      </x:c>
      <x:c r="E126" t="n">
        <x:v>88</x:v>
      </x:c>
      <x:c r="F126" t="n">
        <x:v>8</x:v>
      </x:c>
      <x:c r="G126" t="n">
        <x:v>4808</x:v>
      </x:c>
      <x:c r="H126" t="n">
        <x:v>1243255.36</x:v>
      </x:c>
      <x:c r="I126" t="str">
        <x:v>0.0</x:v>
      </x:c>
      <x:c r="J126" t="n">
        <x:v>7914</x:v>
      </x:c>
      <x:c r="K126" t="n">
        <x:v>0</x:v>
      </x:c>
    </x:row>
    <x:row r="127">
      <x:c r="A127" t="str">
        <x:v>P0105</x:v>
      </x:c>
      <x:c r="B127" t="str">
        <x:v>Beverages</x:v>
      </x:c>
      <x:c r="C127" t="str">
        <x:v>SUP051</x:v>
      </x:c>
      <x:c r="D127" t="n">
        <x:v>701606.08</x:v>
      </x:c>
      <x:c r="E127" t="n">
        <x:v>91</x:v>
      </x:c>
      <x:c r="F127" t="n">
        <x:v>11</x:v>
      </x:c>
      <x:c r="G127" t="n">
        <x:v>4367</x:v>
      </x:c>
      <x:c r="H127" t="n">
        <x:v>164560.48</x:v>
      </x:c>
      <x:c r="I127" t="str">
        <x:v>0.0</x:v>
      </x:c>
      <x:c r="J127" t="n">
        <x:v>133</x:v>
      </x:c>
      <x:c r="K127" t="n">
        <x:v>0</x:v>
      </x:c>
    </x:row>
    <x:row r="128">
      <x:c r="A128" t="str">
        <x:v>P0475</x:v>
      </x:c>
      <x:c r="B128" t="str">
        <x:v>Household</x:v>
      </x:c>
      <x:c r="C128" t="str">
        <x:v>SUP012</x:v>
      </x:c>
      <x:c r="D128" t="n">
        <x:v>349523.46</x:v>
      </x:c>
      <x:c r="E128" t="n">
        <x:v>167</x:v>
      </x:c>
      <x:c r="F128" t="n">
        <x:v>8</x:v>
      </x:c>
      <x:c r="G128" t="n">
        <x:v>2609</x:v>
      </x:c>
      <x:c r="H128" t="n">
        <x:v>208874.9</x:v>
      </x:c>
      <x:c r="I128" t="n">
        <x:v>13994.1</x:v>
      </x:c>
      <x:c r="J128" t="n">
        <x:v>0</x:v>
      </x:c>
      <x:c r="K128" t="n">
        <x:v>0</x:v>
      </x:c>
    </x:row>
    <x:row r="129">
      <x:c r="A129" t="str">
        <x:v>P0202</x:v>
      </x:c>
      <x:c r="B129" t="str">
        <x:v>Dry Grocery</x:v>
      </x:c>
      <x:c r="C129" t="str">
        <x:v>SUP040</x:v>
      </x:c>
      <x:c r="D129" t="n">
        <x:v>91431.42</x:v>
      </x:c>
      <x:c r="E129" t="n">
        <x:v>525</x:v>
      </x:c>
      <x:c r="F129" t="n">
        <x:v>34</x:v>
      </x:c>
      <x:c r="G129" t="n">
        <x:v>3987</x:v>
      </x:c>
      <x:c r="H129" t="n">
        <x:v>20823.16</x:v>
      </x:c>
      <x:c r="I129" t="str">
        <x:v>0.0</x:v>
      </x:c>
      <x:c r="J129" t="n">
        <x:v>0</x:v>
      </x:c>
      <x:c r="K129" t="n">
        <x:v>2</x:v>
      </x:c>
    </x:row>
    <x:row r="130">
      <x:c r="A130" t="str">
        <x:v>P0090</x:v>
      </x:c>
      <x:c r="B130" t="str">
        <x:v>Dry Grocery</x:v>
      </x:c>
      <x:c r="C130" t="str">
        <x:v>SUP053</x:v>
      </x:c>
      <x:c r="D130" t="n">
        <x:v>311969.55</x:v>
      </x:c>
      <x:c r="E130" t="n">
        <x:v>1131</x:v>
      </x:c>
      <x:c r="F130" t="n">
        <x:v>64</x:v>
      </x:c>
      <x:c r="G130" t="n">
        <x:v>5596</x:v>
      </x:c>
      <x:c r="H130" t="n">
        <x:v>23278.5</x:v>
      </x:c>
      <x:c r="I130" t="str">
        <x:v>0.0</x:v>
      </x:c>
      <x:c r="J130" t="n">
        <x:v>0</x:v>
      </x:c>
      <x:c r="K130" t="n">
        <x:v>2</x:v>
      </x:c>
    </x:row>
    <x:row r="131">
      <x:c r="A131" t="str">
        <x:v>P0211</x:v>
      </x:c>
      <x:c r="B131" t="str">
        <x:v>Household</x:v>
      </x:c>
      <x:c r="C131" t="str">
        <x:v>SUP008</x:v>
      </x:c>
      <x:c r="D131" t="n">
        <x:v>462069.36</x:v>
      </x:c>
      <x:c r="E131" t="n">
        <x:v>286</x:v>
      </x:c>
      <x:c r="F131" t="n">
        <x:v>17</x:v>
      </x:c>
      <x:c r="G131" t="n">
        <x:v>3364</x:v>
      </x:c>
      <x:c r="H131" t="n">
        <x:v>118191.59</x:v>
      </x:c>
      <x:c r="I131" t="n">
        <x:v>12441.22</x:v>
      </x:c>
      <x:c r="J131" t="n">
        <x:v>196</x:v>
      </x:c>
      <x:c r="K131" t="n">
        <x:v>0</x:v>
      </x:c>
    </x:row>
    <x:row r="132">
      <x:c r="A132" t="str">
        <x:v>P0063</x:v>
      </x:c>
      <x:c r="B132" t="str">
        <x:v>Electrical</x:v>
      </x:c>
      <x:c r="C132" t="str">
        <x:v>SUP013</x:v>
      </x:c>
      <x:c r="D132" t="n">
        <x:v>286736.05</x:v>
      </x:c>
      <x:c r="E132" t="n">
        <x:v>614</x:v>
      </x:c>
      <x:c r="F132" t="n">
        <x:v>41</x:v>
      </x:c>
      <x:c r="G132" t="n">
        <x:v>6993</x:v>
      </x:c>
      <x:c r="H132" t="n">
        <x:v>120682.08</x:v>
      </x:c>
      <x:c r="I132" t="str">
        <x:v>0.0</x:v>
      </x:c>
      <x:c r="J132" t="n">
        <x:v>1823</x:v>
      </x:c>
      <x:c r="K132" t="n">
        <x:v>0</x:v>
      </x:c>
    </x:row>
    <x:row r="133">
      <x:c r="A133" t="str">
        <x:v>P0239</x:v>
      </x:c>
      <x:c r="B133" t="str">
        <x:v>Electrical</x:v>
      </x:c>
      <x:c r="C133" t="str">
        <x:v>SUP064</x:v>
      </x:c>
      <x:c r="D133" t="n">
        <x:v>455729.56</x:v>
      </x:c>
      <x:c r="E133" t="n">
        <x:v>239</x:v>
      </x:c>
      <x:c r="F133" t="n">
        <x:v>20</x:v>
      </x:c>
      <x:c r="G133" t="n">
        <x:v>3385</x:v>
      </x:c>
      <x:c r="H133" t="n">
        <x:v>132349.53</x:v>
      </x:c>
      <x:c r="I133" t="str">
        <x:v>0.0</x:v>
      </x:c>
      <x:c r="J133" t="n">
        <x:v>354</x:v>
      </x:c>
      <x:c r="K133" t="n">
        <x:v>0</x:v>
      </x:c>
    </x:row>
    <x:row r="134">
      <x:c r="A134" t="str">
        <x:v>P0377</x:v>
      </x:c>
      <x:c r="B134" t="str">
        <x:v>Beverages</x:v>
      </x:c>
      <x:c r="C134" t="str">
        <x:v>SUP021</x:v>
      </x:c>
      <x:c r="D134" t="n">
        <x:v>180285.46</x:v>
      </x:c>
      <x:c r="E134" t="n">
        <x:v>432</x:v>
      </x:c>
      <x:c r="F134" t="n">
        <x:v>33</x:v>
      </x:c>
      <x:c r="G134" t="n">
        <x:v>2726</x:v>
      </x:c>
      <x:c r="H134" t="n">
        <x:v>81115.84</x:v>
      </x:c>
      <x:c r="I134" t="n">
        <x:v>1289.6</x:v>
      </x:c>
      <x:c r="J134" t="n">
        <x:v>267</x:v>
      </x:c>
      <x:c r="K134" t="n">
        <x:v>0</x:v>
      </x:c>
    </x:row>
    <x:row r="135">
      <x:c r="A135" t="str">
        <x:v>P0077</x:v>
      </x:c>
      <x:c r="B135" t="str">
        <x:v>Packaging</x:v>
      </x:c>
      <x:c r="C135" t="str">
        <x:v>SUP021</x:v>
      </x:c>
      <x:c r="D135" t="n">
        <x:v>267670.82</x:v>
      </x:c>
      <x:c r="E135" t="n">
        <x:v>762</x:v>
      </x:c>
      <x:c r="F135" t="n">
        <x:v>43</x:v>
      </x:c>
      <x:c r="G135" t="n">
        <x:v>6109</x:v>
      </x:c>
      <x:c r="H135" t="n">
        <x:v>87853.2</x:v>
      </x:c>
      <x:c r="I135" t="str">
        <x:v>0.0</x:v>
      </x:c>
      <x:c r="J135" t="n">
        <x:v>1222</x:v>
      </x:c>
      <x:c r="K135" t="n">
        <x:v>1</x:v>
      </x:c>
    </x:row>
    <x:row r="136">
      <x:c r="A136" t="str">
        <x:v>P0354</x:v>
      </x:c>
      <x:c r="B136" t="str">
        <x:v>Dry Grocery</x:v>
      </x:c>
      <x:c r="C136" t="str">
        <x:v>SUP022</x:v>
      </x:c>
      <x:c r="D136" t="n">
        <x:v>273599.97</x:v>
      </x:c>
      <x:c r="E136" t="n">
        <x:v>1053</x:v>
      </x:c>
      <x:c r="F136" t="n">
        <x:v>69</x:v>
      </x:c>
      <x:c r="G136" t="n">
        <x:v>2816</x:v>
      </x:c>
      <x:c r="H136" t="n">
        <x:v>85277.1</x:v>
      </x:c>
      <x:c r="I136" t="str">
        <x:v>0.0</x:v>
      </x:c>
      <x:c r="J136" t="n">
        <x:v>0</x:v>
      </x:c>
      <x:c r="K136" t="n">
        <x:v>2</x:v>
      </x:c>
    </x:row>
    <x:row r="137">
      <x:c r="A137" t="str">
        <x:v>P0274</x:v>
      </x:c>
      <x:c r="B137" t="str">
        <x:v>Dry Grocery</x:v>
      </x:c>
      <x:c r="C137" t="str">
        <x:v>SUP028</x:v>
      </x:c>
      <x:c r="D137" t="n">
        <x:v>313987.18</x:v>
      </x:c>
      <x:c r="E137" t="n">
        <x:v>100</x:v>
      </x:c>
      <x:c r="F137" t="n">
        <x:v>5</x:v>
      </x:c>
      <x:c r="G137" t="n">
        <x:v>3402</x:v>
      </x:c>
      <x:c r="H137" t="n">
        <x:v>266760.32</x:v>
      </x:c>
      <x:c r="I137" t="str">
        <x:v>0.0</x:v>
      </x:c>
      <x:c r="J137" t="n">
        <x:v>1413</x:v>
      </x:c>
      <x:c r="K137" t="n">
        <x:v>0</x:v>
      </x:c>
    </x:row>
    <x:row r="138">
      <x:c r="A138" t="str">
        <x:v>P0085</x:v>
      </x:c>
      <x:c r="B138" t="str">
        <x:v>Packaging</x:v>
      </x:c>
      <x:c r="C138" t="str">
        <x:v>SUP061</x:v>
      </x:c>
      <x:c r="D138" t="n">
        <x:v>1026182</x:v>
      </x:c>
      <x:c r="E138" t="n">
        <x:v>437</x:v>
      </x:c>
      <x:c r="F138" t="n">
        <x:v>37</x:v>
      </x:c>
      <x:c r="G138" t="n">
        <x:v>5713</x:v>
      </x:c>
      <x:c r="H138" t="n">
        <x:v>706116.93</x:v>
      </x:c>
      <x:c r="I138" t="str">
        <x:v>0.0</x:v>
      </x:c>
      <x:c r="J138" t="n">
        <x:v>2675</x:v>
      </x:c>
      <x:c r="K138" t="n">
        <x:v>0</x:v>
      </x:c>
    </x:row>
    <x:row r="139">
      <x:c r="A139" t="str">
        <x:v>P0034</x:v>
      </x:c>
      <x:c r="B139" t="str">
        <x:v>Dry Grocery</x:v>
      </x:c>
      <x:c r="C139" t="str">
        <x:v>SUP012</x:v>
      </x:c>
      <x:c r="D139" t="n">
        <x:v>708128.96</x:v>
      </x:c>
      <x:c r="E139" t="n">
        <x:v>167</x:v>
      </x:c>
      <x:c r="F139" t="n">
        <x:v>13</x:v>
      </x:c>
      <x:c r="G139" t="n">
        <x:v>9099</x:v>
      </x:c>
      <x:c r="H139" t="n">
        <x:v>410054.65</x:v>
      </x:c>
      <x:c r="I139" t="str">
        <x:v>0.0</x:v>
      </x:c>
      <x:c r="J139" t="n">
        <x:v>3423</x:v>
      </x:c>
      <x:c r="K139" t="n">
        <x:v>0</x:v>
      </x:c>
    </x:row>
    <x:row r="140">
      <x:c r="A140" t="str">
        <x:v>P0053</x:v>
      </x:c>
      <x:c r="B140" t="str">
        <x:v>Packaging</x:v>
      </x:c>
      <x:c r="C140" t="str">
        <x:v>SUP048</x:v>
      </x:c>
      <x:c r="D140" t="n">
        <x:v>149471.15</x:v>
      </x:c>
      <x:c r="E140" t="n">
        <x:v>754</x:v>
      </x:c>
      <x:c r="F140" t="n">
        <x:v>45</x:v>
      </x:c>
      <x:c r="G140" t="n">
        <x:v>7359</x:v>
      </x:c>
      <x:c r="H140" t="n">
        <x:v>30469.01</x:v>
      </x:c>
      <x:c r="I140" t="str">
        <x:v>0.0</x:v>
      </x:c>
      <x:c r="J140" t="n">
        <x:v>653</x:v>
      </x:c>
      <x:c r="K140" t="n">
        <x:v>0</x:v>
      </x:c>
    </x:row>
    <x:row r="141">
      <x:c r="A141" t="str">
        <x:v>P0113</x:v>
      </x:c>
      <x:c r="B141" t="str">
        <x:v>Beverages</x:v>
      </x:c>
      <x:c r="C141" t="str">
        <x:v>SUP048</x:v>
      </x:c>
      <x:c r="D141" t="n">
        <x:v>114207.72</x:v>
      </x:c>
      <x:c r="E141" t="n">
        <x:v>403</x:v>
      </x:c>
      <x:c r="F141" t="n">
        <x:v>36</x:v>
      </x:c>
      <x:c r="G141" t="n">
        <x:v>4495</x:v>
      </x:c>
      <x:c r="H141" t="n">
        <x:v>31331.1</x:v>
      </x:c>
      <x:c r="I141" t="str">
        <x:v>0.0</x:v>
      </x:c>
      <x:c r="J141" t="n">
        <x:v>564</x:v>
      </x:c>
      <x:c r="K141" t="n">
        <x:v>0</x:v>
      </x:c>
    </x:row>
    <x:row r="142">
      <x:c r="A142" t="str">
        <x:v>P0324</x:v>
      </x:c>
      <x:c r="B142" t="str">
        <x:v>Personal Care</x:v>
      </x:c>
      <x:c r="C142" t="str">
        <x:v>SUP008</x:v>
      </x:c>
      <x:c r="D142" t="n">
        <x:v>120600.72</x:v>
      </x:c>
      <x:c r="E142" t="n">
        <x:v>582</x:v>
      </x:c>
      <x:c r="F142" t="n">
        <x:v>37</x:v>
      </x:c>
      <x:c r="G142" t="n">
        <x:v>2706</x:v>
      </x:c>
      <x:c r="H142" t="n">
        <x:v>47184.96</x:v>
      </x:c>
      <x:c r="I142" t="str">
        <x:v>0.0</x:v>
      </x:c>
      <x:c r="J142" t="n">
        <x:v>0</x:v>
      </x:c>
      <x:c r="K142" t="n">
        <x:v>0</x:v>
      </x:c>
    </x:row>
    <x:row r="143">
      <x:c r="A143" t="str">
        <x:v>P0045</x:v>
      </x:c>
      <x:c r="B143" t="str">
        <x:v>Packaging</x:v>
      </x:c>
      <x:c r="C143" t="str">
        <x:v>SUP003</x:v>
      </x:c>
      <x:c r="D143" t="n">
        <x:v>894579.66</x:v>
      </x:c>
      <x:c r="E143" t="n">
        <x:v>1257</x:v>
      </x:c>
      <x:c r="F143" t="n">
        <x:v>97</x:v>
      </x:c>
      <x:c r="G143" t="n">
        <x:v>7755</x:v>
      </x:c>
      <x:c r="H143" t="n">
        <x:v>33313.28</x:v>
      </x:c>
      <x:c r="I143" t="str">
        <x:v>0.0</x:v>
      </x:c>
      <x:c r="J143" t="n">
        <x:v>0</x:v>
      </x:c>
      <x:c r="K143" t="n">
        <x:v>1</x:v>
      </x:c>
    </x:row>
    <x:row r="144">
      <x:c r="A144" t="str">
        <x:v>P0139</x:v>
      </x:c>
      <x:c r="B144" t="str">
        <x:v>Household</x:v>
      </x:c>
      <x:c r="C144" t="str">
        <x:v>SUP055</x:v>
      </x:c>
      <x:c r="D144" t="n">
        <x:v>798981.82</x:v>
      </x:c>
      <x:c r="E144" t="n">
        <x:v>162</x:v>
      </x:c>
      <x:c r="F144" t="n">
        <x:v>13</x:v>
      </x:c>
      <x:c r="G144" t="n">
        <x:v>4348</x:v>
      </x:c>
      <x:c r="H144" t="n">
        <x:v>1589144.55</x:v>
      </x:c>
      <x:c r="I144" t="str">
        <x:v>0.0</x:v>
      </x:c>
      <x:c r="J144" t="n">
        <x:v>11605</x:v>
      </x:c>
      <x:c r="K144" t="n">
        <x:v>0</x:v>
      </x:c>
    </x:row>
    <x:row r="145">
      <x:c r="A145" t="str">
        <x:v>P0328</x:v>
      </x:c>
      <x:c r="B145" t="str">
        <x:v>Cleaning</x:v>
      </x:c>
      <x:c r="C145" t="str">
        <x:v>SUP054</x:v>
      </x:c>
      <x:c r="D145" t="n">
        <x:v>205835.58</x:v>
      </x:c>
      <x:c r="E145" t="n">
        <x:v>55</x:v>
      </x:c>
      <x:c r="F145" t="n">
        <x:v>3</x:v>
      </x:c>
      <x:c r="G145" t="n">
        <x:v>3154</x:v>
      </x:c>
      <x:c r="H145" t="n">
        <x:v>89859.77</x:v>
      </x:c>
      <x:c r="I145" t="str">
        <x:v>0.0</x:v>
      </x:c>
      <x:c r="J145" t="n">
        <x:v>590</x:v>
      </x:c>
      <x:c r="K145" t="n">
        <x:v>0</x:v>
      </x:c>
    </x:row>
    <x:row r="146">
      <x:c r="A146" t="str">
        <x:v>P0317</x:v>
      </x:c>
      <x:c r="B146" t="str">
        <x:v>Packaging</x:v>
      </x:c>
      <x:c r="C146" t="str">
        <x:v>SUP049</x:v>
      </x:c>
      <x:c r="D146" t="n">
        <x:v>318000.93</x:v>
      </x:c>
      <x:c r="E146" t="n">
        <x:v>91</x:v>
      </x:c>
      <x:c r="F146" t="n">
        <x:v>6</x:v>
      </x:c>
      <x:c r="G146" t="n">
        <x:v>2470</x:v>
      </x:c>
      <x:c r="H146" t="n">
        <x:v>253460.07</x:v>
      </x:c>
      <x:c r="I146" t="str">
        <x:v>0.0</x:v>
      </x:c>
      <x:c r="J146" t="n">
        <x:v>413</x:v>
      </x:c>
      <x:c r="K146" t="n">
        <x:v>0</x:v>
      </x:c>
    </x:row>
    <x:row r="147">
      <x:c r="A147" t="str">
        <x:v>P0187</x:v>
      </x:c>
      <x:c r="B147" t="str">
        <x:v>Household</x:v>
      </x:c>
      <x:c r="C147" t="str">
        <x:v>SUP052</x:v>
      </x:c>
      <x:c r="D147" t="n">
        <x:v>106052.21</x:v>
      </x:c>
      <x:c r="E147" t="n">
        <x:v>975</x:v>
      </x:c>
      <x:c r="F147" t="n">
        <x:v>83</x:v>
      </x:c>
      <x:c r="G147" t="n">
        <x:v>4406</x:v>
      </x:c>
      <x:c r="H147" t="n">
        <x:v>25277.86</x:v>
      </x:c>
      <x:c r="I147" t="str">
        <x:v>0.0</x:v>
      </x:c>
      <x:c r="J147" t="n">
        <x:v>0</x:v>
      </x:c>
      <x:c r="K147" t="n">
        <x:v>0</x:v>
      </x:c>
    </x:row>
    <x:row r="148">
      <x:c r="A148" t="str">
        <x:v>P0411</x:v>
      </x:c>
      <x:c r="B148" t="str">
        <x:v>Household</x:v>
      </x:c>
      <x:c r="C148" t="str">
        <x:v>SUP038</x:v>
      </x:c>
      <x:c r="D148" t="n">
        <x:v>201742.8</x:v>
      </x:c>
      <x:c r="E148" t="n">
        <x:v>227</x:v>
      </x:c>
      <x:c r="F148" t="n">
        <x:v>13</x:v>
      </x:c>
      <x:c r="G148" t="n">
        <x:v>2782</x:v>
      </x:c>
      <x:c r="H148" t="n">
        <x:v>55767.84</x:v>
      </x:c>
      <x:c r="I148" t="str">
        <x:v>0.0</x:v>
      </x:c>
      <x:c r="J148" t="n">
        <x:v>45</x:v>
      </x:c>
      <x:c r="K148" t="n">
        <x:v>0</x:v>
      </x:c>
    </x:row>
    <x:row r="149">
      <x:c r="A149" t="str">
        <x:v>P0335</x:v>
      </x:c>
      <x:c r="B149" t="str">
        <x:v>Electrical</x:v>
      </x:c>
      <x:c r="C149" t="str">
        <x:v>SUP053</x:v>
      </x:c>
      <x:c r="D149" t="n">
        <x:v>351019.2</x:v>
      </x:c>
      <x:c r="E149" t="n">
        <x:v>981</x:v>
      </x:c>
      <x:c r="F149" t="n">
        <x:v>73</x:v>
      </x:c>
      <x:c r="G149" t="n">
        <x:v>3151</x:v>
      </x:c>
      <x:c r="H149" t="n">
        <x:v>61227.6</x:v>
      </x:c>
      <x:c r="I149" t="str">
        <x:v>0.0</x:v>
      </x:c>
      <x:c r="J149" t="n">
        <x:v>0</x:v>
      </x:c>
      <x:c r="K149" t="n">
        <x:v>0</x:v>
      </x:c>
    </x:row>
    <x:row r="150">
      <x:c r="A150" t="str">
        <x:v>P0237</x:v>
      </x:c>
      <x:c r="B150" t="str">
        <x:v>Packaging</x:v>
      </x:c>
      <x:c r="C150" t="str">
        <x:v>SUP041</x:v>
      </x:c>
      <x:c r="D150" t="n">
        <x:v>569874</x:v>
      </x:c>
      <x:c r="E150" t="n">
        <x:v>55</x:v>
      </x:c>
      <x:c r="F150" t="n">
        <x:v>4</x:v>
      </x:c>
      <x:c r="G150" t="n">
        <x:v>3075</x:v>
      </x:c>
      <x:c r="H150" t="n">
        <x:v>402476.1</x:v>
      </x:c>
      <x:c r="I150" t="str">
        <x:v>0.0</x:v>
      </x:c>
      <x:c r="J150" t="n">
        <x:v>499</x:v>
      </x:c>
      <x:c r="K150" t="n">
        <x:v>0</x:v>
      </x:c>
    </x:row>
    <x:row r="151">
      <x:c r="A151" t="str">
        <x:v>P0464</x:v>
      </x:c>
      <x:c r="B151" t="str">
        <x:v>Cleaning</x:v>
      </x:c>
      <x:c r="C151" t="str">
        <x:v>SUP010</x:v>
      </x:c>
      <x:c r="D151" t="n">
        <x:v>322458</x:v>
      </x:c>
      <x:c r="E151" t="n">
        <x:v>13</x:v>
      </x:c>
      <x:c r="F151" t="n">
        <x:v>2</x:v>
      </x:c>
      <x:c r="G151" t="n">
        <x:v>2243</x:v>
      </x:c>
      <x:c r="H151" t="n">
        <x:v>634754.12</x:v>
      </x:c>
      <x:c r="I151" t="str">
        <x:v>0.0</x:v>
      </x:c>
      <x:c r="J151" t="n">
        <x:v>3331</x:v>
      </x:c>
      <x:c r="K151" t="n">
        <x:v>0</x:v>
      </x:c>
    </x:row>
    <x:row r="152">
      <x:c r="A152" t="str">
        <x:v>P0055</x:v>
      </x:c>
      <x:c r="B152" t="str">
        <x:v>Electrical</x:v>
      </x:c>
      <x:c r="C152" t="str">
        <x:v>SUP003</x:v>
      </x:c>
      <x:c r="D152" t="n">
        <x:v>296779.12</x:v>
      </x:c>
      <x:c r="E152" t="n">
        <x:v>1553</x:v>
      </x:c>
      <x:c r="F152" t="n">
        <x:v>119</x:v>
      </x:c>
      <x:c r="G152" t="n">
        <x:v>6756</x:v>
      </x:c>
      <x:c r="H152" t="n">
        <x:v>72759.2</x:v>
      </x:c>
      <x:c r="I152" t="str">
        <x:v>0.0</x:v>
      </x:c>
      <x:c r="J152" t="n">
        <x:v>151</x:v>
      </x:c>
      <x:c r="K152" t="n">
        <x:v>0</x:v>
      </x:c>
    </x:row>
    <x:row r="153">
      <x:c r="A153" t="str">
        <x:v>P0298</x:v>
      </x:c>
      <x:c r="B153" t="str">
        <x:v>Dry Grocery</x:v>
      </x:c>
      <x:c r="C153" t="str">
        <x:v>SUP054</x:v>
      </x:c>
      <x:c r="D153" t="n">
        <x:v>419163.81</x:v>
      </x:c>
      <x:c r="E153" t="n">
        <x:v>56</x:v>
      </x:c>
      <x:c r="F153" t="n">
        <x:v>5</x:v>
      </x:c>
      <x:c r="G153" t="n">
        <x:v>2903</x:v>
      </x:c>
      <x:c r="H153" t="n">
        <x:v>355092.5</x:v>
      </x:c>
      <x:c r="I153" t="str">
        <x:v>0.0</x:v>
      </x:c>
      <x:c r="J153" t="n">
        <x:v>1686</x:v>
      </x:c>
      <x:c r="K153" t="n">
        <x:v>0</x:v>
      </x:c>
    </x:row>
    <x:row r="154">
      <x:c r="A154" t="str">
        <x:v>P0227</x:v>
      </x:c>
      <x:c r="B154" t="str">
        <x:v>Household</x:v>
      </x:c>
      <x:c r="C154" t="str">
        <x:v>SUP038</x:v>
      </x:c>
      <x:c r="D154" t="n">
        <x:v>540892.44</x:v>
      </x:c>
      <x:c r="E154" t="n">
        <x:v>414</x:v>
      </x:c>
      <x:c r="F154" t="n">
        <x:v>26</x:v>
      </x:c>
      <x:c r="G154" t="n">
        <x:v>3405</x:v>
      </x:c>
      <x:c r="H154" t="n">
        <x:v>125210.38</x:v>
      </x:c>
      <x:c r="I154" t="str">
        <x:v>0.0</x:v>
      </x:c>
      <x:c r="J154" t="n">
        <x:v>13</x:v>
      </x:c>
      <x:c r="K154" t="n">
        <x:v>2</x:v>
      </x:c>
    </x:row>
    <x:row r="155">
      <x:c r="A155" t="str">
        <x:v>P0144</x:v>
      </x:c>
      <x:c r="B155" t="str">
        <x:v>Cleaning</x:v>
      </x:c>
      <x:c r="C155" t="str">
        <x:v>SUP042</x:v>
      </x:c>
      <x:c r="D155" t="n">
        <x:v>560955.36</x:v>
      </x:c>
      <x:c r="E155" t="n">
        <x:v>640</x:v>
      </x:c>
      <x:c r="F155" t="n">
        <x:v>46</x:v>
      </x:c>
      <x:c r="G155" t="n">
        <x:v>4144</x:v>
      </x:c>
      <x:c r="H155" t="n">
        <x:v>185462.52</x:v>
      </x:c>
      <x:c r="I155" t="str">
        <x:v>0.0</x:v>
      </x:c>
      <x:c r="J155" t="n">
        <x:v>419</x:v>
      </x:c>
      <x:c r="K155" t="n">
        <x:v>1</x:v>
      </x:c>
    </x:row>
    <x:row r="156">
      <x:c r="A156" t="str">
        <x:v>P0133</x:v>
      </x:c>
      <x:c r="B156" t="str">
        <x:v>Packaging</x:v>
      </x:c>
      <x:c r="C156" t="str">
        <x:v>SUP018</x:v>
      </x:c>
      <x:c r="D156" t="n">
        <x:v>372910.33</x:v>
      </x:c>
      <x:c r="E156" t="n">
        <x:v>1207</x:v>
      </x:c>
      <x:c r="F156" t="n">
        <x:v>80</x:v>
      </x:c>
      <x:c r="G156" t="n">
        <x:v>4626</x:v>
      </x:c>
      <x:c r="H156" t="n">
        <x:v>54192.6</x:v>
      </x:c>
      <x:c r="I156" t="str">
        <x:v>0.0</x:v>
      </x:c>
      <x:c r="J156" t="n">
        <x:v>0</x:v>
      </x:c>
      <x:c r="K156" t="n">
        <x:v>1</x:v>
      </x:c>
    </x:row>
    <x:row r="157">
      <x:c r="A157" t="str">
        <x:v>P0330</x:v>
      </x:c>
      <x:c r="B157" t="str">
        <x:v>Dry Grocery</x:v>
      </x:c>
      <x:c r="C157" t="str">
        <x:v>SUP052</x:v>
      </x:c>
      <x:c r="D157" t="n">
        <x:v>253666.8</x:v>
      </x:c>
      <x:c r="E157" t="n">
        <x:v>38</x:v>
      </x:c>
      <x:c r="F157" t="n">
        <x:v>3</x:v>
      </x:c>
      <x:c r="G157" t="n">
        <x:v>2828</x:v>
      </x:c>
      <x:c r="H157" t="n">
        <x:v>130825.75</x:v>
      </x:c>
      <x:c r="I157" t="str">
        <x:v>0.0</x:v>
      </x:c>
      <x:c r="J157" t="n">
        <x:v>520</x:v>
      </x:c>
      <x:c r="K157" t="n">
        <x:v>0</x:v>
      </x:c>
    </x:row>
    <x:row r="158">
      <x:c r="A158" t="str">
        <x:v>P0308</x:v>
      </x:c>
      <x:c r="B158" t="str">
        <x:v>Personal Care</x:v>
      </x:c>
      <x:c r="C158" t="str">
        <x:v>SUP053</x:v>
      </x:c>
      <x:c r="D158" t="n">
        <x:v>64676.54</x:v>
      </x:c>
      <x:c r="E158" t="n">
        <x:v>365</x:v>
      </x:c>
      <x:c r="F158" t="n">
        <x:v>22</x:v>
      </x:c>
      <x:c r="G158" t="n">
        <x:v>3223</x:v>
      </x:c>
      <x:c r="H158" t="n">
        <x:v>18886.86</x:v>
      </x:c>
      <x:c r="I158" t="str">
        <x:v>0.0</x:v>
      </x:c>
      <x:c r="J158" t="n">
        <x:v>25</x:v>
      </x:c>
      <x:c r="K158" t="n">
        <x:v>0</x:v>
      </x:c>
    </x:row>
    <x:row r="159">
      <x:c r="A159" t="str">
        <x:v>P0362</x:v>
      </x:c>
      <x:c r="B159" t="str">
        <x:v>Dry Grocery</x:v>
      </x:c>
      <x:c r="C159" t="str">
        <x:v>SUP052</x:v>
      </x:c>
      <x:c r="D159" t="n">
        <x:v>468913.7</x:v>
      </x:c>
      <x:c r="E159" t="n">
        <x:v>759</x:v>
      </x:c>
      <x:c r="F159" t="n">
        <x:v>42</x:v>
      </x:c>
      <x:c r="G159" t="n">
        <x:v>3169</x:v>
      </x:c>
      <x:c r="H159" t="n">
        <x:v>264325.38</x:v>
      </x:c>
      <x:c r="I159" t="str">
        <x:v>0.0</x:v>
      </x:c>
      <x:c r="J159" t="n">
        <x:v>729</x:v>
      </x:c>
      <x:c r="K159" t="n">
        <x:v>0</x:v>
      </x:c>
    </x:row>
    <x:row r="160">
      <x:c r="A160" t="str">
        <x:v>P0480</x:v>
      </x:c>
      <x:c r="B160" t="str">
        <x:v>Cleaning</x:v>
      </x:c>
      <x:c r="C160" t="str">
        <x:v>SUP044</x:v>
      </x:c>
      <x:c r="D160" t="n">
        <x:v>227527.08</x:v>
      </x:c>
      <x:c r="E160" t="n">
        <x:v>53</x:v>
      </x:c>
      <x:c r="F160" t="n">
        <x:v>4</x:v>
      </x:c>
      <x:c r="G160" t="n">
        <x:v>2187</x:v>
      </x:c>
      <x:c r="H160" t="n">
        <x:v>981040.2</x:v>
      </x:c>
      <x:c r="I160" t="str">
        <x:v>0.0</x:v>
      </x:c>
      <x:c r="J160" t="n">
        <x:v>7905</x:v>
      </x:c>
      <x:c r="K160" t="n">
        <x:v>0</x:v>
      </x:c>
    </x:row>
    <x:row r="161">
      <x:c r="A161" t="str">
        <x:v>P0357</x:v>
      </x:c>
      <x:c r="B161" t="str">
        <x:v>Packaging</x:v>
      </x:c>
      <x:c r="C161" t="str">
        <x:v>SUP010</x:v>
      </x:c>
      <x:c r="D161" t="n">
        <x:v>246345.72</x:v>
      </x:c>
      <x:c r="E161" t="n">
        <x:v>137</x:v>
      </x:c>
      <x:c r="F161" t="n">
        <x:v>8</x:v>
      </x:c>
      <x:c r="G161" t="n">
        <x:v>2660</x:v>
      </x:c>
      <x:c r="H161" t="n">
        <x:v>306563.47</x:v>
      </x:c>
      <x:c r="I161" t="str">
        <x:v>0.0</x:v>
      </x:c>
      <x:c r="J161" t="n">
        <x:v>910</x:v>
      </x:c>
      <x:c r="K161" t="n">
        <x:v>0</x:v>
      </x:c>
    </x:row>
    <x:row r="162">
      <x:c r="A162" t="str">
        <x:v>P0162</x:v>
      </x:c>
      <x:c r="B162" t="str">
        <x:v>Dry Grocery</x:v>
      </x:c>
      <x:c r="C162" t="str">
        <x:v>SUP015</x:v>
      </x:c>
      <x:c r="D162" t="n">
        <x:v>401330.18</x:v>
      </x:c>
      <x:c r="E162" t="n">
        <x:v>50</x:v>
      </x:c>
      <x:c r="F162" t="n">
        <x:v>4</x:v>
      </x:c>
      <x:c r="G162" t="n">
        <x:v>4092</x:v>
      </x:c>
      <x:c r="H162" t="n">
        <x:v>588485.1</x:v>
      </x:c>
      <x:c r="I162" t="str">
        <x:v>0.0</x:v>
      </x:c>
      <x:c r="J162" t="n">
        <x:v>5690</x:v>
      </x:c>
      <x:c r="K162" t="n">
        <x:v>0</x:v>
      </x:c>
    </x:row>
    <x:row r="163">
      <x:c r="A163" t="str">
        <x:v>P0015</x:v>
      </x:c>
      <x:c r="B163" t="str">
        <x:v>Electrical</x:v>
      </x:c>
      <x:c r="C163" t="str">
        <x:v>SUP049</x:v>
      </x:c>
      <x:c r="D163" t="n">
        <x:v>905720.64</x:v>
      </x:c>
      <x:c r="E163" t="n">
        <x:v>7103</x:v>
      </x:c>
      <x:c r="F163" t="n">
        <x:v>339</x:v>
      </x:c>
      <x:c r="G163" t="n">
        <x:v>16585</x:v>
      </x:c>
      <x:c r="H163" t="n">
        <x:v>142548.84</x:v>
      </x:c>
      <x:c r="I163" t="str">
        <x:v>0.0</x:v>
      </x:c>
      <x:c r="J163" t="n">
        <x:v>494</x:v>
      </x:c>
      <x:c r="K163" t="n">
        <x:v>1</x:v>
      </x:c>
    </x:row>
    <x:row r="164">
      <x:c r="A164" t="str">
        <x:v>P0261</x:v>
      </x:c>
      <x:c r="B164" t="str">
        <x:v>Packaging</x:v>
      </x:c>
      <x:c r="C164" t="str">
        <x:v>SUP002</x:v>
      </x:c>
      <x:c r="D164" t="n">
        <x:v>54653</x:v>
      </x:c>
      <x:c r="E164" t="n">
        <x:v>480</x:v>
      </x:c>
      <x:c r="F164" t="n">
        <x:v>39</x:v>
      </x:c>
      <x:c r="G164" t="n">
        <x:v>3022</x:v>
      </x:c>
      <x:c r="H164" t="n">
        <x:v>19327.22</x:v>
      </x:c>
      <x:c r="I164" t="str">
        <x:v>0.0</x:v>
      </x:c>
      <x:c r="J164" t="n">
        <x:v>289</x:v>
      </x:c>
      <x:c r="K164" t="n">
        <x:v>0</x:v>
      </x:c>
    </x:row>
    <x:row r="165">
      <x:c r="A165" t="str">
        <x:v>P0021</x:v>
      </x:c>
      <x:c r="B165" t="str">
        <x:v>Packaging</x:v>
      </x:c>
      <x:c r="C165" t="str">
        <x:v>SUP042</x:v>
      </x:c>
      <x:c r="D165" t="n">
        <x:v>1389743.22</x:v>
      </x:c>
      <x:c r="E165" t="n">
        <x:v>1976</x:v>
      </x:c>
      <x:c r="F165" t="n">
        <x:v>131</x:v>
      </x:c>
      <x:c r="G165" t="n">
        <x:v>11575</x:v>
      </x:c>
      <x:c r="H165" t="n">
        <x:v>256628.94</x:v>
      </x:c>
      <x:c r="I165" t="str">
        <x:v>0.0</x:v>
      </x:c>
      <x:c r="J165" t="n">
        <x:v>601</x:v>
      </x:c>
      <x:c r="K165" t="n">
        <x:v>0</x:v>
      </x:c>
    </x:row>
    <x:row r="166">
      <x:c r="A166" t="str">
        <x:v>P0044</x:v>
      </x:c>
      <x:c r="B166" t="str">
        <x:v>Personal Care</x:v>
      </x:c>
      <x:c r="C166" t="str">
        <x:v>SUP018</x:v>
      </x:c>
      <x:c r="D166" t="n">
        <x:v>684731.72</x:v>
      </x:c>
      <x:c r="E166" t="n">
        <x:v>1911</x:v>
      </x:c>
      <x:c r="F166" t="n">
        <x:v>136</x:v>
      </x:c>
      <x:c r="G166" t="n">
        <x:v>7739</x:v>
      </x:c>
      <x:c r="H166" t="n">
        <x:v>74856.6</x:v>
      </x:c>
      <x:c r="I166" t="str">
        <x:v>0.0</x:v>
      </x:c>
      <x:c r="J166" t="n">
        <x:v>0</x:v>
      </x:c>
      <x:c r="K166" t="n">
        <x:v>1</x:v>
      </x:c>
    </x:row>
    <x:row r="167">
      <x:c r="A167" t="str">
        <x:v>P0163</x:v>
      </x:c>
      <x:c r="B167" t="str">
        <x:v>Household</x:v>
      </x:c>
      <x:c r="C167" t="str">
        <x:v>SUP022</x:v>
      </x:c>
      <x:c r="D167" t="n">
        <x:v>307494.92</x:v>
      </x:c>
      <x:c r="E167" t="n">
        <x:v>1556</x:v>
      </x:c>
      <x:c r="F167" t="n">
        <x:v>114</x:v>
      </x:c>
      <x:c r="G167" t="n">
        <x:v>3840</x:v>
      </x:c>
      <x:c r="H167" t="n">
        <x:v>13530.69</x:v>
      </x:c>
      <x:c r="I167" t="str">
        <x:v>0.0</x:v>
      </x:c>
      <x:c r="J167" t="n">
        <x:v>0</x:v>
      </x:c>
      <x:c r="K167" t="n">
        <x:v>3</x:v>
      </x:c>
    </x:row>
    <x:row r="168">
      <x:c r="A168" t="str">
        <x:v>P0167</x:v>
      </x:c>
      <x:c r="B168" t="str">
        <x:v>Electrical</x:v>
      </x:c>
      <x:c r="C168" t="str">
        <x:v>SUP038</x:v>
      </x:c>
      <x:c r="D168" t="n">
        <x:v>249243.4</x:v>
      </x:c>
      <x:c r="E168" t="n">
        <x:v>513</x:v>
      </x:c>
      <x:c r="F168" t="n">
        <x:v>41</x:v>
      </x:c>
      <x:c r="G168" t="n">
        <x:v>4021</x:v>
      </x:c>
      <x:c r="H168" t="n">
        <x:v>27992.44</x:v>
      </x:c>
      <x:c r="I168" t="str">
        <x:v>0.0</x:v>
      </x:c>
      <x:c r="J168" t="n">
        <x:v>0</x:v>
      </x:c>
      <x:c r="K168" t="n">
        <x:v>3</x:v>
      </x:c>
    </x:row>
    <x:row r="169">
      <x:c r="A169" t="str">
        <x:v>P0301</x:v>
      </x:c>
      <x:c r="B169" t="str">
        <x:v>Packaging</x:v>
      </x:c>
      <x:c r="C169" t="str">
        <x:v>SUP004</x:v>
      </x:c>
      <x:c r="D169" t="n">
        <x:v>139777</x:v>
      </x:c>
      <x:c r="E169" t="n">
        <x:v>947</x:v>
      </x:c>
      <x:c r="F169" t="n">
        <x:v>73</x:v>
      </x:c>
      <x:c r="G169" t="n">
        <x:v>3372</x:v>
      </x:c>
      <x:c r="H169" t="n">
        <x:v>63683.95</x:v>
      </x:c>
      <x:c r="I169" t="str">
        <x:v>0.0</x:v>
      </x:c>
      <x:c r="J169" t="n">
        <x:v>69</x:v>
      </x:c>
      <x:c r="K169" t="n">
        <x:v>1</x:v>
      </x:c>
    </x:row>
    <x:row r="170">
      <x:c r="A170" t="str">
        <x:v>P0413</x:v>
      </x:c>
      <x:c r="B170" t="str">
        <x:v>Packaging</x:v>
      </x:c>
      <x:c r="C170" t="str">
        <x:v>SUP033</x:v>
      </x:c>
      <x:c r="D170" t="n">
        <x:v>456476.86</x:v>
      </x:c>
      <x:c r="E170" t="n">
        <x:v>150</x:v>
      </x:c>
      <x:c r="F170" t="n">
        <x:v>13</x:v>
      </x:c>
      <x:c r="G170" t="n">
        <x:v>2887</x:v>
      </x:c>
      <x:c r="H170" t="n">
        <x:v>116383.68</x:v>
      </x:c>
      <x:c r="I170" t="str">
        <x:v>0.0</x:v>
      </x:c>
      <x:c r="J170" t="n">
        <x:v>0</x:v>
      </x:c>
      <x:c r="K170" t="n">
        <x:v>1</x:v>
      </x:c>
    </x:row>
    <x:row r="171">
      <x:c r="A171" t="str">
        <x:v>P0185</x:v>
      </x:c>
      <x:c r="B171" t="str">
        <x:v>Beverages</x:v>
      </x:c>
      <x:c r="C171" t="str">
        <x:v>SUP024</x:v>
      </x:c>
      <x:c r="D171" t="n">
        <x:v>125742.75</x:v>
      </x:c>
      <x:c r="E171" t="n">
        <x:v>1094</x:v>
      </x:c>
      <x:c r="F171" t="n">
        <x:v>73</x:v>
      </x:c>
      <x:c r="G171" t="n">
        <x:v>4319</x:v>
      </x:c>
      <x:c r="H171" t="n">
        <x:v>12648.33</x:v>
      </x:c>
      <x:c r="I171" t="str">
        <x:v>0.0</x:v>
      </x:c>
      <x:c r="J171" t="n">
        <x:v>0</x:v>
      </x:c>
      <x:c r="K171" t="n">
        <x:v>0</x:v>
      </x:c>
    </x:row>
    <x:row r="172">
      <x:c r="A172" t="str">
        <x:v>P0451</x:v>
      </x:c>
      <x:c r="B172" t="str">
        <x:v>Household</x:v>
      </x:c>
      <x:c r="C172" t="str">
        <x:v>SUP009</x:v>
      </x:c>
      <x:c r="D172" t="n">
        <x:v>437332.35</x:v>
      </x:c>
      <x:c r="E172" t="n">
        <x:v>23</x:v>
      </x:c>
      <x:c r="F172" t="n">
        <x:v>2</x:v>
      </x:c>
      <x:c r="G172" t="n">
        <x:v>2610</x:v>
      </x:c>
      <x:c r="H172" t="n">
        <x:v>517090.08</x:v>
      </x:c>
      <x:c r="I172" t="str">
        <x:v>0.0</x:v>
      </x:c>
      <x:c r="J172" t="n">
        <x:v>2308</x:v>
      </x:c>
      <x:c r="K172" t="n">
        <x:v>0</x:v>
      </x:c>
    </x:row>
    <x:row r="173">
      <x:c r="A173" t="str">
        <x:v>P0080</x:v>
      </x:c>
      <x:c r="B173" t="str">
        <x:v>Cleaning</x:v>
      </x:c>
      <x:c r="C173" t="str">
        <x:v>SUP058</x:v>
      </x:c>
      <x:c r="D173" t="n">
        <x:v>428364.72</x:v>
      </x:c>
      <x:c r="E173" t="n">
        <x:v>1871</x:v>
      </x:c>
      <x:c r="F173" t="n">
        <x:v>122</x:v>
      </x:c>
      <x:c r="G173" t="n">
        <x:v>6299</x:v>
      </x:c>
      <x:c r="H173" t="n">
        <x:v>57623.58</x:v>
      </x:c>
      <x:c r="I173" t="str">
        <x:v>0.0</x:v>
      </x:c>
      <x:c r="J173" t="n">
        <x:v>0</x:v>
      </x:c>
      <x:c r="K173" t="n">
        <x:v>2</x:v>
      </x:c>
    </x:row>
    <x:row r="174">
      <x:c r="A174" t="str">
        <x:v>P0369</x:v>
      </x:c>
      <x:c r="B174" t="str">
        <x:v>Beverages</x:v>
      </x:c>
      <x:c r="C174" t="str">
        <x:v>SUP025</x:v>
      </x:c>
      <x:c r="D174" t="n">
        <x:v>376734.6</x:v>
      </x:c>
      <x:c r="E174" t="n">
        <x:v>255</x:v>
      </x:c>
      <x:c r="F174" t="n">
        <x:v>15</x:v>
      </x:c>
      <x:c r="G174" t="n">
        <x:v>2640</x:v>
      </x:c>
      <x:c r="H174" t="n">
        <x:v>378949.72</x:v>
      </x:c>
      <x:c r="I174" t="str">
        <x:v>0.0</x:v>
      </x:c>
      <x:c r="J174" t="n">
        <x:v>1987</x:v>
      </x:c>
      <x:c r="K174" t="n">
        <x:v>0</x:v>
      </x:c>
    </x:row>
    <x:row r="175">
      <x:c r="A175" t="str">
        <x:v>P0032</x:v>
      </x:c>
      <x:c r="B175" t="str">
        <x:v>Cleaning</x:v>
      </x:c>
      <x:c r="C175" t="str">
        <x:v>SUP019</x:v>
      </x:c>
      <x:c r="D175" t="n">
        <x:v>86410.06</x:v>
      </x:c>
      <x:c r="E175" t="n">
        <x:v>747</x:v>
      </x:c>
      <x:c r="F175" t="n">
        <x:v>54</x:v>
      </x:c>
      <x:c r="G175" t="n">
        <x:v>9008</x:v>
      </x:c>
      <x:c r="H175" t="n">
        <x:v>19191.9</x:v>
      </x:c>
      <x:c r="I175" t="str">
        <x:v>0.0</x:v>
      </x:c>
      <x:c r="J175" t="n">
        <x:v>1538</x:v>
      </x:c>
      <x:c r="K175" t="n">
        <x:v>0</x:v>
      </x:c>
    </x:row>
    <x:row r="176">
      <x:c r="A176" t="str">
        <x:v>P0037</x:v>
      </x:c>
      <x:c r="B176" t="str">
        <x:v>Packaging</x:v>
      </x:c>
      <x:c r="C176" t="str">
        <x:v>SUP013</x:v>
      </x:c>
      <x:c r="D176" t="n">
        <x:v>418918.5</x:v>
      </x:c>
      <x:c r="E176" t="n">
        <x:v>383</x:v>
      </x:c>
      <x:c r="F176" t="n">
        <x:v>27</x:v>
      </x:c>
      <x:c r="G176" t="n">
        <x:v>8573</x:v>
      </x:c>
      <x:c r="H176" t="n">
        <x:v>138917.24</x:v>
      </x:c>
      <x:c r="I176" t="str">
        <x:v>0.0</x:v>
      </x:c>
      <x:c r="J176" t="n">
        <x:v>2524</x:v>
      </x:c>
      <x:c r="K176" t="n">
        <x:v>0</x:v>
      </x:c>
    </x:row>
    <x:row r="177">
      <x:c r="A177" t="str">
        <x:v>P0191</x:v>
      </x:c>
      <x:c r="B177" t="str">
        <x:v>Electrical</x:v>
      </x:c>
      <x:c r="C177" t="str">
        <x:v>SUP006</x:v>
      </x:c>
      <x:c r="D177" t="n">
        <x:v>484491.45</x:v>
      </x:c>
      <x:c r="E177" t="n">
        <x:v>112</x:v>
      </x:c>
      <x:c r="F177" t="n">
        <x:v>7</x:v>
      </x:c>
      <x:c r="G177" t="n">
        <x:v>3781</x:v>
      </x:c>
      <x:c r="H177" t="n">
        <x:v>312061.75</x:v>
      </x:c>
      <x:c r="I177" t="str">
        <x:v>0.0</x:v>
      </x:c>
      <x:c r="J177" t="n">
        <x:v>706</x:v>
      </x:c>
      <x:c r="K177" t="n">
        <x:v>0</x:v>
      </x:c>
    </x:row>
    <x:row r="178">
      <x:c r="A178" t="str">
        <x:v>P0454</x:v>
      </x:c>
      <x:c r="B178" t="str">
        <x:v>Hardware</x:v>
      </x:c>
      <x:c r="C178" t="str">
        <x:v>SUP018</x:v>
      </x:c>
      <x:c r="D178" t="n">
        <x:v>37841.67</x:v>
      </x:c>
      <x:c r="E178" t="n">
        <x:v>419</x:v>
      </x:c>
      <x:c r="F178" t="n">
        <x:v>35</x:v>
      </x:c>
      <x:c r="G178" t="n">
        <x:v>2742</x:v>
      </x:c>
      <x:c r="H178" t="n">
        <x:v>11507.2</x:v>
      </x:c>
      <x:c r="I178" t="str">
        <x:v>0.0</x:v>
      </x:c>
      <x:c r="J178" t="n">
        <x:v>0</x:v>
      </x:c>
      <x:c r="K178" t="n">
        <x:v>0</x:v>
      </x:c>
    </x:row>
    <x:row r="179">
      <x:c r="A179" t="str">
        <x:v>P0010</x:v>
      </x:c>
      <x:c r="B179" t="str">
        <x:v>Dry Grocery</x:v>
      </x:c>
      <x:c r="C179" t="str">
        <x:v>SUP007</x:v>
      </x:c>
      <x:c r="D179" t="n">
        <x:v>2578981.21</x:v>
      </x:c>
      <x:c r="E179" t="n">
        <x:v>3243</x:v>
      </x:c>
      <x:c r="F179" t="n">
        <x:v>159</x:v>
      </x:c>
      <x:c r="G179" t="n">
        <x:v>19544</x:v>
      </x:c>
      <x:c r="H179" t="n">
        <x:v>371984.64</x:v>
      </x:c>
      <x:c r="I179" t="str">
        <x:v>0.0</x:v>
      </x:c>
      <x:c r="J179" t="n">
        <x:v>1866</x:v>
      </x:c>
      <x:c r="K179" t="n">
        <x:v>0</x:v>
      </x:c>
    </x:row>
    <x:row r="180">
      <x:c r="A180" t="str">
        <x:v>P0233</x:v>
      </x:c>
      <x:c r="B180" t="str">
        <x:v>Beverages</x:v>
      </x:c>
      <x:c r="C180" t="str">
        <x:v>SUP006</x:v>
      </x:c>
      <x:c r="D180" t="n">
        <x:v>401192.36</x:v>
      </x:c>
      <x:c r="E180" t="n">
        <x:v>75</x:v>
      </x:c>
      <x:c r="F180" t="n">
        <x:v>4</x:v>
      </x:c>
      <x:c r="G180" t="n">
        <x:v>3073</x:v>
      </x:c>
      <x:c r="H180" t="n">
        <x:v>277653.74</x:v>
      </x:c>
      <x:c r="I180" t="str">
        <x:v>0.0</x:v>
      </x:c>
      <x:c r="J180" t="n">
        <x:v>947</x:v>
      </x:c>
      <x:c r="K180" t="n">
        <x:v>0</x:v>
      </x:c>
    </x:row>
    <x:row r="181">
      <x:c r="A181" t="str">
        <x:v>P0313</x:v>
      </x:c>
      <x:c r="B181" t="str">
        <x:v>Beverages</x:v>
      </x:c>
      <x:c r="C181" t="str">
        <x:v>SUP054</x:v>
      </x:c>
      <x:c r="D181" t="n">
        <x:v>36901.8</x:v>
      </x:c>
      <x:c r="E181" t="n">
        <x:v>129</x:v>
      </x:c>
      <x:c r="F181" t="n">
        <x:v>8</x:v>
      </x:c>
      <x:c r="G181" t="n">
        <x:v>2619</x:v>
      </x:c>
      <x:c r="H181" t="n">
        <x:v>23814</x:v>
      </x:c>
      <x:c r="I181" t="str">
        <x:v>0.0</x:v>
      </x:c>
      <x:c r="J181" t="n">
        <x:v>570</x:v>
      </x:c>
      <x:c r="K181" t="n">
        <x:v>0</x:v>
      </x:c>
    </x:row>
    <x:row r="182">
      <x:c r="A182" t="str">
        <x:v>P0060</x:v>
      </x:c>
      <x:c r="B182" t="str">
        <x:v>Personal Care</x:v>
      </x:c>
      <x:c r="C182" t="str">
        <x:v>SUP042</x:v>
      </x:c>
      <x:c r="D182" t="n">
        <x:v>1008307.26</x:v>
      </x:c>
      <x:c r="E182" t="n">
        <x:v>834</x:v>
      </x:c>
      <x:c r="F182" t="n">
        <x:v>51</x:v>
      </x:c>
      <x:c r="G182" t="n">
        <x:v>6540</x:v>
      </x:c>
      <x:c r="H182" t="n">
        <x:v>220226.8</x:v>
      </x:c>
      <x:c r="I182" t="str">
        <x:v>0.0</x:v>
      </x:c>
      <x:c r="J182" t="n">
        <x:v>642</x:v>
      </x:c>
      <x:c r="K182" t="n">
        <x:v>1</x:v>
      </x:c>
    </x:row>
    <x:row r="183">
      <x:c r="A183" t="str">
        <x:v>P0412</x:v>
      </x:c>
      <x:c r="B183" t="str">
        <x:v>Personal Care</x:v>
      </x:c>
      <x:c r="C183" t="str">
        <x:v>SUP061</x:v>
      </x:c>
      <x:c r="D183" t="n">
        <x:v>210911.18</x:v>
      </x:c>
      <x:c r="E183" t="n">
        <x:v>48</x:v>
      </x:c>
      <x:c r="F183" t="n">
        <x:v>4</x:v>
      </x:c>
      <x:c r="G183" t="n">
        <x:v>2462</x:v>
      </x:c>
      <x:c r="H183" t="n">
        <x:v>118345.92</x:v>
      </x:c>
      <x:c r="I183" t="str">
        <x:v>0.0</x:v>
      </x:c>
      <x:c r="J183" t="n">
        <x:v>0</x:v>
      </x:c>
      <x:c r="K183" t="n">
        <x:v>0</x:v>
      </x:c>
    </x:row>
    <x:row r="184">
      <x:c r="A184" t="str">
        <x:v>P0143</x:v>
      </x:c>
      <x:c r="B184" t="str">
        <x:v>Electrical</x:v>
      </x:c>
      <x:c r="C184" t="str">
        <x:v>SUP046</x:v>
      </x:c>
      <x:c r="D184" t="n">
        <x:v>200578.95</x:v>
      </x:c>
      <x:c r="E184" t="n">
        <x:v>425</x:v>
      </x:c>
      <x:c r="F184" t="n">
        <x:v>28</x:v>
      </x:c>
      <x:c r="G184" t="n">
        <x:v>4286</x:v>
      </x:c>
      <x:c r="H184" t="n">
        <x:v>126502.02</x:v>
      </x:c>
      <x:c r="I184" t="str">
        <x:v>0.0</x:v>
      </x:c>
      <x:c r="J184" t="n">
        <x:v>1697</x:v>
      </x:c>
      <x:c r="K184" t="n">
        <x:v>0</x:v>
      </x:c>
    </x:row>
    <x:row r="185">
      <x:c r="A185" t="str">
        <x:v>P0204</x:v>
      </x:c>
      <x:c r="B185" t="str">
        <x:v>Personal Care</x:v>
      </x:c>
      <x:c r="C185" t="str">
        <x:v>SUP057</x:v>
      </x:c>
      <x:c r="D185" t="n">
        <x:v>261066.84</x:v>
      </x:c>
      <x:c r="E185" t="n">
        <x:v>139</x:v>
      </x:c>
      <x:c r="F185" t="n">
        <x:v>11</x:v>
      </x:c>
      <x:c r="G185" t="n">
        <x:v>3958</x:v>
      </x:c>
      <x:c r="H185" t="n">
        <x:v>76544.16</x:v>
      </x:c>
      <x:c r="I185" t="str">
        <x:v>0.0</x:v>
      </x:c>
      <x:c r="J185" t="n">
        <x:v>453</x:v>
      </x:c>
      <x:c r="K185" t="n">
        <x:v>0</x:v>
      </x:c>
    </x:row>
    <x:row r="186">
      <x:c r="A186" t="str">
        <x:v>P0275</x:v>
      </x:c>
      <x:c r="B186" t="str">
        <x:v>Household</x:v>
      </x:c>
      <x:c r="C186" t="str">
        <x:v>SUP029</x:v>
      </x:c>
      <x:c r="D186" t="n">
        <x:v>170486.19</x:v>
      </x:c>
      <x:c r="E186" t="n">
        <x:v>53</x:v>
      </x:c>
      <x:c r="F186" t="n">
        <x:v>4</x:v>
      </x:c>
      <x:c r="G186" t="n">
        <x:v>3336</x:v>
      </x:c>
      <x:c r="H186" t="n">
        <x:v>100627.2</x:v>
      </x:c>
      <x:c r="I186" t="n">
        <x:v>9049.46</x:v>
      </x:c>
      <x:c r="J186" t="n">
        <x:v>1016</x:v>
      </x:c>
      <x:c r="K186" t="n">
        <x:v>0</x:v>
      </x:c>
    </x:row>
    <x:row r="187">
      <x:c r="A187" t="str">
        <x:v>P0177</x:v>
      </x:c>
      <x:c r="B187" t="str">
        <x:v>Beverages</x:v>
      </x:c>
      <x:c r="C187" t="str">
        <x:v>SUP008</x:v>
      </x:c>
      <x:c r="D187" t="n">
        <x:v>471715.47</x:v>
      </x:c>
      <x:c r="E187" t="n">
        <x:v>1293</x:v>
      </x:c>
      <x:c r="F187" t="n">
        <x:v>84</x:v>
      </x:c>
      <x:c r="G187" t="n">
        <x:v>3954</x:v>
      </x:c>
      <x:c r="H187" t="n">
        <x:v>57993.39</x:v>
      </x:c>
      <x:c r="I187" t="str">
        <x:v>0.0</x:v>
      </x:c>
      <x:c r="J187" t="n">
        <x:v>0</x:v>
      </x:c>
      <x:c r="K187" t="n">
        <x:v>1</x:v>
      </x:c>
    </x:row>
    <x:row r="188">
      <x:c r="A188" t="str">
        <x:v>P0110</x:v>
      </x:c>
      <x:c r="B188" t="str">
        <x:v>Hardware</x:v>
      </x:c>
      <x:c r="C188" t="str">
        <x:v>SUP019</x:v>
      </x:c>
      <x:c r="D188" t="n">
        <x:v>65942.36</x:v>
      </x:c>
      <x:c r="E188" t="n">
        <x:v>127</x:v>
      </x:c>
      <x:c r="F188" t="n">
        <x:v>11</x:v>
      </x:c>
      <x:c r="G188" t="n">
        <x:v>4233</x:v>
      </x:c>
      <x:c r="H188" t="n">
        <x:v>27362.92</x:v>
      </x:c>
      <x:c r="I188" t="str">
        <x:v>0.0</x:v>
      </x:c>
      <x:c r="J188" t="n">
        <x:v>585</x:v>
      </x:c>
      <x:c r="K188" t="n">
        <x:v>0</x:v>
      </x:c>
    </x:row>
    <x:row r="189">
      <x:c r="A189" t="str">
        <x:v>P0016</x:v>
      </x:c>
      <x:c r="B189" t="str">
        <x:v>Cleaning</x:v>
      </x:c>
      <x:c r="C189" t="str">
        <x:v>SUP050</x:v>
      </x:c>
      <x:c r="D189" t="n">
        <x:v>1227266.24</x:v>
      </x:c>
      <x:c r="E189" t="n">
        <x:v>3624</x:v>
      </x:c>
      <x:c r="F189" t="n">
        <x:v>143</x:v>
      </x:c>
      <x:c r="G189" t="n">
        <x:v>14996</x:v>
      </x:c>
      <x:c r="H189" t="n">
        <x:v>351874.53</x:v>
      </x:c>
      <x:c r="I189" t="str">
        <x:v>0.0</x:v>
      </x:c>
      <x:c r="J189" t="n">
        <x:v>2956</x:v>
      </x:c>
      <x:c r="K189" t="n">
        <x:v>1</x:v>
      </x:c>
    </x:row>
    <x:row r="190">
      <x:c r="A190" t="str">
        <x:v>P0013</x:v>
      </x:c>
      <x:c r="B190" t="str">
        <x:v>Packaging</x:v>
      </x:c>
      <x:c r="C190" t="str">
        <x:v>SUP033</x:v>
      </x:c>
      <x:c r="D190" t="n">
        <x:v>580107.84</x:v>
      </x:c>
      <x:c r="E190" t="n">
        <x:v>4060</x:v>
      </x:c>
      <x:c r="F190" t="n">
        <x:v>190</x:v>
      </x:c>
      <x:c r="G190" t="n">
        <x:v>16186</x:v>
      </x:c>
      <x:c r="H190" t="n">
        <x:v>102896</x:v>
      </x:c>
      <x:c r="I190" t="str">
        <x:v>0.0</x:v>
      </x:c>
      <x:c r="J190" t="n">
        <x:v>1267</x:v>
      </x:c>
      <x:c r="K190" t="n">
        <x:v>0</x:v>
      </x:c>
    </x:row>
    <x:row r="191">
      <x:c r="A191" t="str">
        <x:v>P0265</x:v>
      </x:c>
      <x:c r="B191" t="str">
        <x:v>Beverages</x:v>
      </x:c>
      <x:c r="C191" t="str">
        <x:v>SUP002</x:v>
      </x:c>
      <x:c r="D191" t="n">
        <x:v>359473.25</x:v>
      </x:c>
      <x:c r="E191" t="n">
        <x:v>243</x:v>
      </x:c>
      <x:c r="F191" t="n">
        <x:v>21</x:v>
      </x:c>
      <x:c r="G191" t="n">
        <x:v>3322</x:v>
      </x:c>
      <x:c r="H191" t="n">
        <x:v>96651.29</x:v>
      </x:c>
      <x:c r="I191" t="str">
        <x:v>0.0</x:v>
      </x:c>
      <x:c r="J191" t="n">
        <x:v>26</x:v>
      </x:c>
      <x:c r="K191" t="n">
        <x:v>1</x:v>
      </x:c>
    </x:row>
    <x:row r="192">
      <x:c r="A192" t="str">
        <x:v>P0397</x:v>
      </x:c>
      <x:c r="B192" t="str">
        <x:v>Packaging</x:v>
      </x:c>
      <x:c r="C192" t="str">
        <x:v>SUP030</x:v>
      </x:c>
      <x:c r="D192" t="n">
        <x:v>423092.49</x:v>
      </x:c>
      <x:c r="E192" t="n">
        <x:v>649</x:v>
      </x:c>
      <x:c r="F192" t="n">
        <x:v>44</x:v>
      </x:c>
      <x:c r="G192" t="n">
        <x:v>2792</x:v>
      </x:c>
      <x:c r="H192" t="n">
        <x:v>99041.6</x:v>
      </x:c>
      <x:c r="I192" t="str">
        <x:v>0.0</x:v>
      </x:c>
      <x:c r="J192" t="n">
        <x:v>0</x:v>
      </x:c>
      <x:c r="K192" t="n">
        <x:v>1</x:v>
      </x:c>
    </x:row>
    <x:row r="193">
      <x:c r="A193" t="str">
        <x:v>P0229</x:v>
      </x:c>
      <x:c r="B193" t="str">
        <x:v>Packaging</x:v>
      </x:c>
      <x:c r="C193" t="str">
        <x:v>SUP008</x:v>
      </x:c>
      <x:c r="D193" t="n">
        <x:v>445459.14</x:v>
      </x:c>
      <x:c r="E193" t="n">
        <x:v>517</x:v>
      </x:c>
      <x:c r="F193" t="n">
        <x:v>34</x:v>
      </x:c>
      <x:c r="G193" t="n">
        <x:v>3583</x:v>
      </x:c>
      <x:c r="H193" t="n">
        <x:v>76644.65</x:v>
      </x:c>
      <x:c r="I193" t="str">
        <x:v>0.0</x:v>
      </x:c>
      <x:c r="J193" t="n">
        <x:v>0</x:v>
      </x:c>
      <x:c r="K193" t="n">
        <x:v>3</x:v>
      </x:c>
    </x:row>
    <x:row r="194">
      <x:c r="A194" t="str">
        <x:v>P0061</x:v>
      </x:c>
      <x:c r="B194" t="str">
        <x:v>Packaging</x:v>
      </x:c>
      <x:c r="C194" t="str">
        <x:v>SUP008</x:v>
      </x:c>
      <x:c r="D194" t="n">
        <x:v>453877.56</x:v>
      </x:c>
      <x:c r="E194" t="n">
        <x:v>1008</x:v>
      </x:c>
      <x:c r="F194" t="n">
        <x:v>68</x:v>
      </x:c>
      <x:c r="G194" t="n">
        <x:v>7026</x:v>
      </x:c>
      <x:c r="H194" t="n">
        <x:v>76584.51</x:v>
      </x:c>
      <x:c r="I194" t="str">
        <x:v>0.0</x:v>
      </x:c>
      <x:c r="J194" t="n">
        <x:v>276</x:v>
      </x:c>
      <x:c r="K194" t="n">
        <x:v>0</x:v>
      </x:c>
    </x:row>
    <x:row r="195">
      <x:c r="A195" t="str">
        <x:v>P0135</x:v>
      </x:c>
      <x:c r="B195" t="str">
        <x:v>Electrical</x:v>
      </x:c>
      <x:c r="C195" t="str">
        <x:v>SUP018</x:v>
      </x:c>
      <x:c r="D195" t="n">
        <x:v>628393.71</x:v>
      </x:c>
      <x:c r="E195" t="n">
        <x:v>1005</x:v>
      </x:c>
      <x:c r="F195" t="n">
        <x:v>71</x:v>
      </x:c>
      <x:c r="G195" t="n">
        <x:v>4232</x:v>
      </x:c>
      <x:c r="H195" t="n">
        <x:v>83277.12</x:v>
      </x:c>
      <x:c r="I195" t="str">
        <x:v>0.0</x:v>
      </x:c>
      <x:c r="J195" t="n">
        <x:v>0</x:v>
      </x:c>
      <x:c r="K195" t="n">
        <x:v>0</x:v>
      </x:c>
    </x:row>
    <x:row r="196">
      <x:c r="A196" t="str">
        <x:v>P0095</x:v>
      </x:c>
      <x:c r="B196" t="str">
        <x:v>Electrical</x:v>
      </x:c>
      <x:c r="C196" t="str">
        <x:v>SUP049</x:v>
      </x:c>
      <x:c r="D196" t="n">
        <x:v>94024.26</x:v>
      </x:c>
      <x:c r="E196" t="n">
        <x:v>720</x:v>
      </x:c>
      <x:c r="F196" t="n">
        <x:v>48</x:v>
      </x:c>
      <x:c r="G196" t="n">
        <x:v>5037</x:v>
      </x:c>
      <x:c r="H196" t="n">
        <x:v>20824.32</x:v>
      </x:c>
      <x:c r="I196" t="str">
        <x:v>0.0</x:v>
      </x:c>
      <x:c r="J196" t="n">
        <x:v>142</x:v>
      </x:c>
      <x:c r="K196" t="n">
        <x:v>1</x:v>
      </x:c>
    </x:row>
    <x:row r="197">
      <x:c r="A197" t="str">
        <x:v>P0334</x:v>
      </x:c>
      <x:c r="B197" t="str">
        <x:v>Hardware</x:v>
      </x:c>
      <x:c r="C197" t="str">
        <x:v>SUP034</x:v>
      </x:c>
      <x:c r="D197" t="n">
        <x:v>426066.48</x:v>
      </x:c>
      <x:c r="E197" t="n">
        <x:v>15</x:v>
      </x:c>
      <x:c r="F197" t="n">
        <x:v>2</x:v>
      </x:c>
      <x:c r="G197" t="n">
        <x:v>3146</x:v>
      </x:c>
      <x:c r="H197" t="n">
        <x:v>392709.9</x:v>
      </x:c>
      <x:c r="I197" t="str">
        <x:v>0.0</x:v>
      </x:c>
      <x:c r="J197" t="n">
        <x:v>760</x:v>
      </x:c>
      <x:c r="K197" t="n">
        <x:v>0</x:v>
      </x:c>
    </x:row>
    <x:row r="198">
      <x:c r="A198" t="str">
        <x:v>P0477</x:v>
      </x:c>
      <x:c r="B198" t="str">
        <x:v>Packaging</x:v>
      </x:c>
      <x:c r="C198" t="str">
        <x:v>SUP045</x:v>
      </x:c>
      <x:c r="D198" t="n">
        <x:v>241944.16</x:v>
      </x:c>
      <x:c r="E198" t="n">
        <x:v>58</x:v>
      </x:c>
      <x:c r="F198" t="n">
        <x:v>8</x:v>
      </x:c>
      <x:c r="G198" t="n">
        <x:v>2666</x:v>
      </x:c>
      <x:c r="H198" t="n">
        <x:v>352474.4</x:v>
      </x:c>
      <x:c r="I198" t="str">
        <x:v>0.0</x:v>
      </x:c>
      <x:c r="J198" t="n">
        <x:v>3740</x:v>
      </x:c>
      <x:c r="K198" t="n">
        <x:v>0</x:v>
      </x:c>
    </x:row>
    <x:row r="199">
      <x:c r="A199" t="str">
        <x:v>P0389</x:v>
      </x:c>
      <x:c r="B199" t="str">
        <x:v>Packaging</x:v>
      </x:c>
      <x:c r="C199" t="str">
        <x:v>SUP018</x:v>
      </x:c>
      <x:c r="D199" t="n">
        <x:v>15631.72</x:v>
      </x:c>
      <x:c r="E199" t="n">
        <x:v>44</x:v>
      </x:c>
      <x:c r="F199" t="n">
        <x:v>3</x:v>
      </x:c>
      <x:c r="G199" t="n">
        <x:v>2658</x:v>
      </x:c>
      <x:c r="H199" t="n">
        <x:v>6552.72</x:v>
      </x:c>
      <x:c r="I199" t="str">
        <x:v>0.0</x:v>
      </x:c>
      <x:c r="J199" t="n">
        <x:v>438</x:v>
      </x:c>
      <x:c r="K199" t="n">
        <x:v>0</x:v>
      </x:c>
    </x:row>
    <x:row r="200">
      <x:c r="A200" t="str">
        <x:v>P0066</x:v>
      </x:c>
      <x:c r="B200" t="str">
        <x:v>Dry Grocery</x:v>
      </x:c>
      <x:c r="C200" t="str">
        <x:v>SUP057</x:v>
      </x:c>
      <x:c r="D200" t="n">
        <x:v>882254.73</x:v>
      </x:c>
      <x:c r="E200" t="n">
        <x:v>1334</x:v>
      </x:c>
      <x:c r="F200" t="n">
        <x:v>82</x:v>
      </x:c>
      <x:c r="G200" t="n">
        <x:v>6821</x:v>
      </x:c>
      <x:c r="H200" t="n">
        <x:v>140685.88</x:v>
      </x:c>
      <x:c r="I200" t="str">
        <x:v>0.0</x:v>
      </x:c>
      <x:c r="J200" t="n">
        <x:v>204</x:v>
      </x:c>
      <x:c r="K200" t="n">
        <x:v>1</x:v>
      </x:c>
    </x:row>
    <x:row r="201">
      <x:c r="A201" t="str">
        <x:v>P0069</x:v>
      </x:c>
      <x:c r="B201" t="str">
        <x:v>Packaging</x:v>
      </x:c>
      <x:c r="C201" t="str">
        <x:v>SUP003</x:v>
      </x:c>
      <x:c r="D201" t="n">
        <x:v>80759.9</x:v>
      </x:c>
      <x:c r="E201" t="n">
        <x:v>1468</x:v>
      </x:c>
      <x:c r="F201" t="n">
        <x:v>100</x:v>
      </x:c>
      <x:c r="G201" t="n">
        <x:v>6213</x:v>
      </x:c>
      <x:c r="H201" t="n">
        <x:v>14780.72</x:v>
      </x:c>
      <x:c r="I201" t="str">
        <x:v>0.0</x:v>
      </x:c>
      <x:c r="J201" t="n">
        <x:v>415</x:v>
      </x:c>
      <x:c r="K201" t="n">
        <x:v>1</x:v>
      </x:c>
    </x:row>
    <x:row r="202">
      <x:c r="A202" t="str">
        <x:v>P0467</x:v>
      </x:c>
      <x:c r="B202" t="str">
        <x:v>Household</x:v>
      </x:c>
      <x:c r="C202" t="str">
        <x:v>SUP056</x:v>
      </x:c>
      <x:c r="D202" t="n">
        <x:v>493733.94</x:v>
      </x:c>
      <x:c r="E202" t="n">
        <x:v>20</x:v>
      </x:c>
      <x:c r="F202" t="n">
        <x:v>1</x:v>
      </x:c>
      <x:c r="G202" t="n">
        <x:v>2798</x:v>
      </x:c>
      <x:c r="H202" t="n">
        <x:v>1554628.4</x:v>
      </x:c>
      <x:c r="I202" t="str">
        <x:v>0.0</x:v>
      </x:c>
      <x:c r="J202" t="n">
        <x:v>10662</x:v>
      </x:c>
      <x:c r="K202" t="n">
        <x:v>0</x:v>
      </x:c>
    </x:row>
    <x:row r="203">
      <x:c r="A203" t="str">
        <x:v>P0196</x:v>
      </x:c>
      <x:c r="B203" t="str">
        <x:v>Personal Care</x:v>
      </x:c>
      <x:c r="C203" t="str">
        <x:v>SUP054</x:v>
      </x:c>
      <x:c r="D203" t="n">
        <x:v>737837.64</x:v>
      </x:c>
      <x:c r="E203" t="n">
        <x:v>135</x:v>
      </x:c>
      <x:c r="F203" t="n">
        <x:v>11</x:v>
      </x:c>
      <x:c r="G203" t="n">
        <x:v>3643</x:v>
      </x:c>
      <x:c r="H203" t="n">
        <x:v>392812.42</x:v>
      </x:c>
      <x:c r="I203" t="str">
        <x:v>0.0</x:v>
      </x:c>
      <x:c r="J203" t="n">
        <x:v>418</x:v>
      </x:c>
      <x:c r="K203" t="n">
        <x:v>0</x:v>
      </x:c>
    </x:row>
    <x:row r="204">
      <x:c r="A204" t="str">
        <x:v>P0427</x:v>
      </x:c>
      <x:c r="B204" t="str">
        <x:v>Household</x:v>
      </x:c>
      <x:c r="C204" t="str">
        <x:v>SUP063</x:v>
      </x:c>
      <x:c r="D204" t="n">
        <x:v>39833.7</x:v>
      </x:c>
      <x:c r="E204" t="n">
        <x:v>79</x:v>
      </x:c>
      <x:c r="F204" t="n">
        <x:v>4</x:v>
      </x:c>
      <x:c r="G204" t="n">
        <x:v>2589</x:v>
      </x:c>
      <x:c r="H204" t="n">
        <x:v>59825.19</x:v>
      </x:c>
      <x:c r="I204" t="str">
        <x:v>0.0</x:v>
      </x:c>
      <x:c r="J204" t="n">
        <x:v>2235</x:v>
      </x:c>
      <x:c r="K204" t="n">
        <x:v>0</x:v>
      </x:c>
    </x:row>
    <x:row r="205">
      <x:c r="A205" t="str">
        <x:v>P0067</x:v>
      </x:c>
      <x:c r="B205" t="str">
        <x:v>Household</x:v>
      </x:c>
      <x:c r="C205" t="str">
        <x:v>SUP024</x:v>
      </x:c>
      <x:c r="D205" t="n">
        <x:v>1030942.2</x:v>
      </x:c>
      <x:c r="E205" t="n">
        <x:v>821</x:v>
      </x:c>
      <x:c r="F205" t="n">
        <x:v>72</x:v>
      </x:c>
      <x:c r="G205" t="n">
        <x:v>5977</x:v>
      </x:c>
      <x:c r="H205" t="n">
        <x:v>117253.5</x:v>
      </x:c>
      <x:c r="I205" t="str">
        <x:v>0.0</x:v>
      </x:c>
      <x:c r="J205" t="n">
        <x:v>0</x:v>
      </x:c>
      <x:c r="K205" t="n">
        <x:v>1</x:v>
      </x:c>
    </x:row>
    <x:row r="206">
      <x:c r="A206" t="str">
        <x:v>P0036</x:v>
      </x:c>
      <x:c r="B206" t="str">
        <x:v>Personal Care</x:v>
      </x:c>
      <x:c r="C206" t="str">
        <x:v>SUP033</x:v>
      </x:c>
      <x:c r="D206" t="n">
        <x:v>496336.5</x:v>
      </x:c>
      <x:c r="E206" t="n">
        <x:v>1317</x:v>
      </x:c>
      <x:c r="F206" t="n">
        <x:v>82</x:v>
      </x:c>
      <x:c r="G206" t="n">
        <x:v>8643</x:v>
      </x:c>
      <x:c r="H206" t="n">
        <x:v>82908.1</x:v>
      </x:c>
      <x:c r="I206" t="str">
        <x:v>0.0</x:v>
      </x:c>
      <x:c r="J206" t="n">
        <x:v>308</x:v>
      </x:c>
      <x:c r="K206" t="n">
        <x:v>2</x:v>
      </x:c>
    </x:row>
    <x:row r="207">
      <x:c r="A207" t="str">
        <x:v>P0457</x:v>
      </x:c>
      <x:c r="B207" t="str">
        <x:v>Beverages</x:v>
      </x:c>
      <x:c r="C207" t="str">
        <x:v>SUP046</x:v>
      </x:c>
      <x:c r="D207" t="n">
        <x:v>113159.5</x:v>
      </x:c>
      <x:c r="E207" t="n">
        <x:v>546</x:v>
      </x:c>
      <x:c r="F207" t="n">
        <x:v>36</x:v>
      </x:c>
      <x:c r="G207" t="n">
        <x:v>2816</x:v>
      </x:c>
      <x:c r="H207" t="n">
        <x:v>28313.28</x:v>
      </x:c>
      <x:c r="I207" t="n">
        <x:v>6074.88</x:v>
      </x:c>
      <x:c r="J207" t="n">
        <x:v>0</x:v>
      </x:c>
      <x:c r="K207" t="n">
        <x:v>1</x:v>
      </x:c>
    </x:row>
    <x:row r="208">
      <x:c r="A208" t="str">
        <x:v>P0039</x:v>
      </x:c>
      <x:c r="B208" t="str">
        <x:v>Electrical</x:v>
      </x:c>
      <x:c r="C208" t="str">
        <x:v>SUP023</x:v>
      </x:c>
      <x:c r="D208" t="n">
        <x:v>766851.25</x:v>
      </x:c>
      <x:c r="E208" t="n">
        <x:v>1693</x:v>
      </x:c>
      <x:c r="F208" t="n">
        <x:v>126</x:v>
      </x:c>
      <x:c r="G208" t="n">
        <x:v>8178</x:v>
      </x:c>
      <x:c r="H208" t="n">
        <x:v>118701.18</x:v>
      </x:c>
      <x:c r="I208" t="str">
        <x:v>0.0</x:v>
      </x:c>
      <x:c r="J208" t="n">
        <x:v>167</x:v>
      </x:c>
      <x:c r="K208" t="n">
        <x:v>0</x:v>
      </x:c>
    </x:row>
    <x:row r="209">
      <x:c r="A209" t="str">
        <x:v>P0435</x:v>
      </x:c>
      <x:c r="B209" t="str">
        <x:v>Household</x:v>
      </x:c>
      <x:c r="C209" t="str">
        <x:v>SUP033</x:v>
      </x:c>
      <x:c r="D209" t="n">
        <x:v>394546.2</x:v>
      </x:c>
      <x:c r="E209" t="n">
        <x:v>485</x:v>
      </x:c>
      <x:c r="F209" t="n">
        <x:v>31</x:v>
      </x:c>
      <x:c r="G209" t="n">
        <x:v>2882</x:v>
      </x:c>
      <x:c r="H209" t="n">
        <x:v>77068.08</x:v>
      </x:c>
      <x:c r="I209" t="str">
        <x:v>0.0</x:v>
      </x:c>
      <x:c r="J209" t="n">
        <x:v>0</x:v>
      </x:c>
      <x:c r="K209" t="n">
        <x:v>0</x:v>
      </x:c>
    </x:row>
    <x:row r="210">
      <x:c r="A210" t="str">
        <x:v>P0023</x:v>
      </x:c>
      <x:c r="B210" t="str">
        <x:v>Electrical</x:v>
      </x:c>
      <x:c r="C210" t="str">
        <x:v>SUP026</x:v>
      </x:c>
      <x:c r="D210" t="n">
        <x:v>1074099.78</x:v>
      </x:c>
      <x:c r="E210" t="n">
        <x:v>3657</x:v>
      </x:c>
      <x:c r="F210" t="n">
        <x:v>249</x:v>
      </x:c>
      <x:c r="G210" t="n">
        <x:v>10491</x:v>
      </x:c>
      <x:c r="H210" t="n">
        <x:v>70260.56</x:v>
      </x:c>
      <x:c r="I210" t="str">
        <x:v>0.0</x:v>
      </x:c>
      <x:c r="J210" t="n">
        <x:v>0</x:v>
      </x:c>
      <x:c r="K210" t="n">
        <x:v>1</x:v>
      </x:c>
    </x:row>
    <x:row r="211">
      <x:c r="A211" t="str">
        <x:v>P0378</x:v>
      </x:c>
      <x:c r="B211" t="str">
        <x:v>Dry Grocery</x:v>
      </x:c>
      <x:c r="C211" t="str">
        <x:v>SUP018</x:v>
      </x:c>
      <x:c r="D211" t="n">
        <x:v>113157.54</x:v>
      </x:c>
      <x:c r="E211" t="n">
        <x:v>449</x:v>
      </x:c>
      <x:c r="F211" t="n">
        <x:v>35</x:v>
      </x:c>
      <x:c r="G211" t="n">
        <x:v>2786</x:v>
      </x:c>
      <x:c r="H211" t="n">
        <x:v>42225.75</x:v>
      </x:c>
      <x:c r="I211" t="str">
        <x:v>0.0</x:v>
      </x:c>
      <x:c r="J211" t="n">
        <x:v>0</x:v>
      </x:c>
      <x:c r="K211" t="n">
        <x:v>0</x:v>
      </x:c>
    </x:row>
    <x:row r="212">
      <x:c r="A212" t="str">
        <x:v>P0099</x:v>
      </x:c>
      <x:c r="B212" t="str">
        <x:v>Household</x:v>
      </x:c>
      <x:c r="C212" t="str">
        <x:v>SUP024</x:v>
      </x:c>
      <x:c r="D212" t="n">
        <x:v>573060.74</x:v>
      </x:c>
      <x:c r="E212" t="n">
        <x:v>567</x:v>
      </x:c>
      <x:c r="F212" t="n">
        <x:v>41</x:v>
      </x:c>
      <x:c r="G212" t="n">
        <x:v>5080</x:v>
      </x:c>
      <x:c r="H212" t="n">
        <x:v>18336.5</x:v>
      </x:c>
      <x:c r="I212" t="str">
        <x:v>0.0</x:v>
      </x:c>
      <x:c r="J212" t="n">
        <x:v>0</x:v>
      </x:c>
      <x:c r="K212" t="n">
        <x:v>2</x:v>
      </x:c>
    </x:row>
    <x:row r="213">
      <x:c r="A213" t="str">
        <x:v>P0366</x:v>
      </x:c>
      <x:c r="B213" t="str">
        <x:v>Hardware</x:v>
      </x:c>
      <x:c r="C213" t="str">
        <x:v>SUP014</x:v>
      </x:c>
      <x:c r="D213" t="n">
        <x:v>326069.4</x:v>
      </x:c>
      <x:c r="E213" t="n">
        <x:v>779</x:v>
      </x:c>
      <x:c r="F213" t="n">
        <x:v>58</x:v>
      </x:c>
      <x:c r="G213" t="n">
        <x:v>2549</x:v>
      </x:c>
      <x:c r="H213" t="n">
        <x:v>106550.64</x:v>
      </x:c>
      <x:c r="I213" t="str">
        <x:v>0.0</x:v>
      </x:c>
      <x:c r="J213" t="n">
        <x:v>0</x:v>
      </x:c>
      <x:c r="K213" t="n">
        <x:v>2</x:v>
      </x:c>
    </x:row>
    <x:row r="214">
      <x:c r="A214" t="str">
        <x:v>P0088</x:v>
      </x:c>
      <x:c r="B214" t="str">
        <x:v>Cleaning</x:v>
      </x:c>
      <x:c r="C214" t="str">
        <x:v>SUP034</x:v>
      </x:c>
      <x:c r="D214" t="n">
        <x:v>34135.38</x:v>
      </x:c>
      <x:c r="E214" t="n">
        <x:v>115</x:v>
      </x:c>
      <x:c r="F214" t="n">
        <x:v>6</x:v>
      </x:c>
      <x:c r="G214" t="n">
        <x:v>5457</x:v>
      </x:c>
      <x:c r="H214" t="n">
        <x:v>40290.52</x:v>
      </x:c>
      <x:c r="I214" t="str">
        <x:v>0.0</x:v>
      </x:c>
      <x:c r="J214" t="n">
        <x:v>5846</x:v>
      </x:c>
      <x:c r="K214" t="n">
        <x:v>0</x:v>
      </x:c>
    </x:row>
    <x:row r="215">
      <x:c r="A215" t="str">
        <x:v>P0329</x:v>
      </x:c>
      <x:c r="B215" t="str">
        <x:v>Beverages</x:v>
      </x:c>
      <x:c r="C215" t="str">
        <x:v>SUP002</x:v>
      </x:c>
      <x:c r="D215" t="n">
        <x:v>200592.78</x:v>
      </x:c>
      <x:c r="E215" t="n">
        <x:v>281</x:v>
      </x:c>
      <x:c r="F215" t="n">
        <x:v>21</x:v>
      </x:c>
      <x:c r="G215" t="n">
        <x:v>2480</x:v>
      </x:c>
      <x:c r="H215" t="n">
        <x:v>80244.19</x:v>
      </x:c>
      <x:c r="I215" t="n">
        <x:v>17709.51</x:v>
      </x:c>
      <x:c r="J215" t="n">
        <x:v>98</x:v>
      </x:c>
      <x:c r="K215" t="n">
        <x:v>0</x:v>
      </x:c>
    </x:row>
    <x:row r="216">
      <x:c r="A216" t="str">
        <x:v>P0052</x:v>
      </x:c>
      <x:c r="B216" t="str">
        <x:v>Personal Care</x:v>
      </x:c>
      <x:c r="C216" t="str">
        <x:v>SUP030</x:v>
      </x:c>
      <x:c r="D216" t="n">
        <x:v>1073229.48</x:v>
      </x:c>
      <x:c r="E216" t="n">
        <x:v>2078</x:v>
      </x:c>
      <x:c r="F216" t="n">
        <x:v>159</x:v>
      </x:c>
      <x:c r="G216" t="n">
        <x:v>7514</x:v>
      </x:c>
      <x:c r="H216" t="n">
        <x:v>107918.73</x:v>
      </x:c>
      <x:c r="I216" t="str">
        <x:v>0.0</x:v>
      </x:c>
      <x:c r="J216" t="n">
        <x:v>162</x:v>
      </x:c>
      <x:c r="K216" t="n">
        <x:v>2</x:v>
      </x:c>
    </x:row>
    <x:row r="217">
      <x:c r="A217" t="str">
        <x:v>P0231</x:v>
      </x:c>
      <x:c r="B217" t="str">
        <x:v>Electrical</x:v>
      </x:c>
      <x:c r="C217" t="str">
        <x:v>SUP022</x:v>
      </x:c>
      <x:c r="D217" t="n">
        <x:v>380571.75</x:v>
      </x:c>
      <x:c r="E217" t="n">
        <x:v>387</x:v>
      </x:c>
      <x:c r="F217" t="n">
        <x:v>27</x:v>
      </x:c>
      <x:c r="G217" t="n">
        <x:v>3312</x:v>
      </x:c>
      <x:c r="H217" t="n">
        <x:v>80381.78</x:v>
      </x:c>
      <x:c r="I217" t="str">
        <x:v>0.0</x:v>
      </x:c>
      <x:c r="J217" t="n">
        <x:v>122</x:v>
      </x:c>
      <x:c r="K217" t="n">
        <x:v>2</x:v>
      </x:c>
    </x:row>
    <x:row r="218">
      <x:c r="A218" t="str">
        <x:v>P0268</x:v>
      </x:c>
      <x:c r="B218" t="str">
        <x:v>Personal Care</x:v>
      </x:c>
      <x:c r="C218" t="str">
        <x:v>SUP024</x:v>
      </x:c>
      <x:c r="D218" t="n">
        <x:v>95725.84</x:v>
      </x:c>
      <x:c r="E218" t="n">
        <x:v>657</x:v>
      </x:c>
      <x:c r="F218" t="n">
        <x:v>45</x:v>
      </x:c>
      <x:c r="G218" t="n">
        <x:v>3289</x:v>
      </x:c>
      <x:c r="H218" t="n">
        <x:v>36192.15</x:v>
      </x:c>
      <x:c r="I218" t="str">
        <x:v>0.0</x:v>
      </x:c>
      <x:c r="J218" t="n">
        <x:v>0</x:v>
      </x:c>
      <x:c r="K218" t="n">
        <x:v>0</x:v>
      </x:c>
    </x:row>
    <x:row r="219">
      <x:c r="A219" t="str">
        <x:v>P0339</x:v>
      </x:c>
      <x:c r="B219" t="str">
        <x:v>Household</x:v>
      </x:c>
      <x:c r="C219" t="str">
        <x:v>SUP022</x:v>
      </x:c>
      <x:c r="D219" t="n">
        <x:v>303061.26</x:v>
      </x:c>
      <x:c r="E219" t="n">
        <x:v>1028</x:v>
      </x:c>
      <x:c r="F219" t="n">
        <x:v>67</x:v>
      </x:c>
      <x:c r="G219" t="n">
        <x:v>3230</x:v>
      </x:c>
      <x:c r="H219" t="n">
        <x:v>79645.68</x:v>
      </x:c>
      <x:c r="I219" t="str">
        <x:v>0.0</x:v>
      </x:c>
      <x:c r="J219" t="n">
        <x:v>0</x:v>
      </x:c>
      <x:c r="K219" t="n">
        <x:v>0</x:v>
      </x:c>
    </x:row>
    <x:row r="220">
      <x:c r="A220" t="str">
        <x:v>P0404</x:v>
      </x:c>
      <x:c r="B220" t="str">
        <x:v>Personal Care</x:v>
      </x:c>
      <x:c r="C220" t="str">
        <x:v>SUP048</x:v>
      </x:c>
      <x:c r="D220" t="n">
        <x:v>59214.4</x:v>
      </x:c>
      <x:c r="E220" t="n">
        <x:v>30</x:v>
      </x:c>
      <x:c r="F220" t="n">
        <x:v>3</x:v>
      </x:c>
      <x:c r="G220" t="n">
        <x:v>2750</x:v>
      </x:c>
      <x:c r="H220" t="n">
        <x:v>33600</x:v>
      </x:c>
      <x:c r="I220" t="str">
        <x:v>0.0</x:v>
      </x:c>
      <x:c r="J220" t="n">
        <x:v>232</x:v>
      </x:c>
      <x:c r="K220" t="n">
        <x:v>0</x:v>
      </x:c>
    </x:row>
    <x:row r="221">
      <x:c r="A221" t="str">
        <x:v>P0263</x:v>
      </x:c>
      <x:c r="B221" t="str">
        <x:v>Electrical</x:v>
      </x:c>
      <x:c r="C221" t="str">
        <x:v>SUP011</x:v>
      </x:c>
      <x:c r="D221" t="n">
        <x:v>288969.74</x:v>
      </x:c>
      <x:c r="E221" t="n">
        <x:v>34</x:v>
      </x:c>
      <x:c r="F221" t="n">
        <x:v>4</x:v>
      </x:c>
      <x:c r="G221" t="n">
        <x:v>3176</x:v>
      </x:c>
      <x:c r="H221" t="n">
        <x:v>351143.53</x:v>
      </x:c>
      <x:c r="I221" t="str">
        <x:v>0.0</x:v>
      </x:c>
      <x:c r="J221" t="n">
        <x:v>2833</x:v>
      </x:c>
      <x:c r="K221" t="n">
        <x:v>0</x:v>
      </x:c>
    </x:row>
    <x:row r="222">
      <x:c r="A222" t="str">
        <x:v>P0219</x:v>
      </x:c>
      <x:c r="B222" t="str">
        <x:v>Household</x:v>
      </x:c>
      <x:c r="C222" t="str">
        <x:v>SUP044</x:v>
      </x:c>
      <x:c r="D222" t="n">
        <x:v>23858.82</x:v>
      </x:c>
      <x:c r="E222" t="n">
        <x:v>127</x:v>
      </x:c>
      <x:c r="F222" t="n">
        <x:v>9</x:v>
      </x:c>
      <x:c r="G222" t="n">
        <x:v>3969</x:v>
      </x:c>
      <x:c r="H222" t="n">
        <x:v>67594.56</x:v>
      </x:c>
      <x:c r="I222" t="str">
        <x:v>0.0</x:v>
      </x:c>
      <x:c r="J222" t="n">
        <x:v>12944</x:v>
      </x:c>
      <x:c r="K222" t="n">
        <x:v>0</x:v>
      </x:c>
    </x:row>
    <x:row r="223">
      <x:c r="A223" t="str">
        <x:v>P0028</x:v>
      </x:c>
      <x:c r="B223" t="str">
        <x:v>Personal Care</x:v>
      </x:c>
      <x:c r="C223" t="str">
        <x:v>SUP035</x:v>
      </x:c>
      <x:c r="D223" t="n">
        <x:v>179109.84</x:v>
      </x:c>
      <x:c r="E223" t="n">
        <x:v>795</x:v>
      </x:c>
      <x:c r="F223" t="n">
        <x:v>65</x:v>
      </x:c>
      <x:c r="G223" t="n">
        <x:v>8996</x:v>
      </x:c>
      <x:c r="H223" t="n">
        <x:v>35827.63</x:v>
      </x:c>
      <x:c r="I223" t="str">
        <x:v>0.0</x:v>
      </x:c>
      <x:c r="J223" t="n">
        <x:v>1039</x:v>
      </x:c>
      <x:c r="K223" t="n">
        <x:v>0</x:v>
      </x:c>
    </x:row>
    <x:row r="224">
      <x:c r="A224" t="str">
        <x:v>P0130</x:v>
      </x:c>
      <x:c r="B224" t="str">
        <x:v>Dry Grocery</x:v>
      </x:c>
      <x:c r="C224" t="str">
        <x:v>SUP064</x:v>
      </x:c>
      <x:c r="D224" t="n">
        <x:v>829905.12</x:v>
      </x:c>
      <x:c r="E224" t="n">
        <x:v>183</x:v>
      </x:c>
      <x:c r="F224" t="n">
        <x:v>15</x:v>
      </x:c>
      <x:c r="G224" t="n">
        <x:v>4946</x:v>
      </x:c>
      <x:c r="H224" t="n">
        <x:v>264024.48</x:v>
      </x:c>
      <x:c r="I224" t="str">
        <x:v>0.0</x:v>
      </x:c>
      <x:c r="J224" t="n">
        <x:v>1263</x:v>
      </x:c>
      <x:c r="K224" t="n">
        <x:v>0</x:v>
      </x:c>
    </x:row>
    <x:row r="225">
      <x:c r="A225" t="str">
        <x:v>P0306</x:v>
      </x:c>
      <x:c r="B225" t="str">
        <x:v>Dry Grocery</x:v>
      </x:c>
      <x:c r="C225" t="str">
        <x:v>SUP028</x:v>
      </x:c>
      <x:c r="D225" t="n">
        <x:v>484784.64</x:v>
      </x:c>
      <x:c r="E225" t="n">
        <x:v>53</x:v>
      </x:c>
      <x:c r="F225" t="n">
        <x:v>7</x:v>
      </x:c>
      <x:c r="G225" t="n">
        <x:v>3626</x:v>
      </x:c>
      <x:c r="H225" t="n">
        <x:v>506711.25</x:v>
      </x:c>
      <x:c r="I225" t="str">
        <x:v>0.0</x:v>
      </x:c>
      <x:c r="J225" t="n">
        <x:v>3613</x:v>
      </x:c>
      <x:c r="K225" t="n">
        <x:v>0</x:v>
      </x:c>
    </x:row>
    <x:row r="226">
      <x:c r="A226" t="str">
        <x:v>P0050</x:v>
      </x:c>
      <x:c r="B226" t="str">
        <x:v>Dry Grocery</x:v>
      </x:c>
      <x:c r="C226" t="str">
        <x:v>SUP046</x:v>
      </x:c>
      <x:c r="D226" t="n">
        <x:v>51411.24</x:v>
      </x:c>
      <x:c r="E226" t="n">
        <x:v>270</x:v>
      </x:c>
      <x:c r="F226" t="n">
        <x:v>20</x:v>
      </x:c>
      <x:c r="G226" t="n">
        <x:v>7371</x:v>
      </x:c>
      <x:c r="H226" t="n">
        <x:v>23996.56</x:v>
      </x:c>
      <x:c r="I226" t="str">
        <x:v>0.0</x:v>
      </x:c>
      <x:c r="J226" t="n">
        <x:v>2159</x:v>
      </x:c>
      <x:c r="K226" t="n">
        <x:v>0</x:v>
      </x:c>
    </x:row>
    <x:row r="227">
      <x:c r="A227" t="str">
        <x:v>P0358</x:v>
      </x:c>
      <x:c r="B227" t="str">
        <x:v>Hardware</x:v>
      </x:c>
      <x:c r="C227" t="str">
        <x:v>SUP035</x:v>
      </x:c>
      <x:c r="D227" t="n">
        <x:v>117474.5</x:v>
      </x:c>
      <x:c r="E227" t="n">
        <x:v>35</x:v>
      </x:c>
      <x:c r="F227" t="n">
        <x:v>2</x:v>
      </x:c>
      <x:c r="G227" t="n">
        <x:v>2950</x:v>
      </x:c>
      <x:c r="H227" t="n">
        <x:v>82003.97</x:v>
      </x:c>
      <x:c r="I227" t="str">
        <x:v>0.0</x:v>
      </x:c>
      <x:c r="J227" t="n">
        <x:v>934</x:v>
      </x:c>
      <x:c r="K227" t="n">
        <x:v>0</x:v>
      </x:c>
    </x:row>
    <x:row r="228">
      <x:c r="A228" t="str">
        <x:v>P0176</x:v>
      </x:c>
      <x:c r="B228" t="str">
        <x:v>Cleaning</x:v>
      </x:c>
      <x:c r="C228" t="str">
        <x:v>SUP001</x:v>
      </x:c>
      <x:c r="D228" t="n">
        <x:v>576987.6</x:v>
      </x:c>
      <x:c r="E228" t="n">
        <x:v>104</x:v>
      </x:c>
      <x:c r="F228" t="n">
        <x:v>7</x:v>
      </x:c>
      <x:c r="G228" t="n">
        <x:v>3792</x:v>
      </x:c>
      <x:c r="H228" t="n">
        <x:v>459213.12</x:v>
      </x:c>
      <x:c r="I228" t="str">
        <x:v>0.0</x:v>
      </x:c>
      <x:c r="J228" t="n">
        <x:v>1699</x:v>
      </x:c>
      <x:c r="K228" t="n">
        <x:v>0</x:v>
      </x:c>
    </x:row>
    <x:row r="229">
      <x:c r="A229" t="str">
        <x:v>P0460</x:v>
      </x:c>
      <x:c r="B229" t="str">
        <x:v>Personal Care</x:v>
      </x:c>
      <x:c r="C229" t="str">
        <x:v>SUP044</x:v>
      </x:c>
      <x:c r="D229" t="n">
        <x:v>135950.15</x:v>
      </x:c>
      <x:c r="E229" t="n">
        <x:v>102</x:v>
      </x:c>
      <x:c r="F229" t="n">
        <x:v>9</x:v>
      </x:c>
      <x:c r="G229" t="n">
        <x:v>2485</x:v>
      </x:c>
      <x:c r="H229" t="n">
        <x:v>416747.05</x:v>
      </x:c>
      <x:c r="I229" t="str">
        <x:v>0.0</x:v>
      </x:c>
      <x:c r="J229" t="n">
        <x:v>6777</x:v>
      </x:c>
      <x:c r="K229" t="n">
        <x:v>0</x:v>
      </x:c>
    </x:row>
    <x:row r="230">
      <x:c r="A230" t="str">
        <x:v>P0019</x:v>
      </x:c>
      <x:c r="B230" t="str">
        <x:v>Household</x:v>
      </x:c>
      <x:c r="C230" t="str">
        <x:v>SUP041</x:v>
      </x:c>
      <x:c r="D230" t="n">
        <x:v>1585836</x:v>
      </x:c>
      <x:c r="E230" t="n">
        <x:v>1283</x:v>
      </x:c>
      <x:c r="F230" t="n">
        <x:v>82</x:v>
      </x:c>
      <x:c r="G230" t="n">
        <x:v>11723</x:v>
      </x:c>
      <x:c r="H230" t="n">
        <x:v>480766.93</x:v>
      </x:c>
      <x:c r="I230" t="str">
        <x:v>0.0</x:v>
      </x:c>
      <x:c r="J230" t="n">
        <x:v>2309</x:v>
      </x:c>
      <x:c r="K230" t="n">
        <x:v>0</x:v>
      </x:c>
    </x:row>
    <x:row r="231">
      <x:c r="A231" t="str">
        <x:v>P0226</x:v>
      </x:c>
      <x:c r="B231" t="str">
        <x:v>Dry Grocery</x:v>
      </x:c>
      <x:c r="C231" t="str">
        <x:v>SUP001</x:v>
      </x:c>
      <x:c r="D231" t="n">
        <x:v>325968.62</x:v>
      </x:c>
      <x:c r="E231" t="n">
        <x:v>140</x:v>
      </x:c>
      <x:c r="F231" t="n">
        <x:v>11</x:v>
      </x:c>
      <x:c r="G231" t="n">
        <x:v>3141</x:v>
      </x:c>
      <x:c r="H231" t="n">
        <x:v>299828.52</x:v>
      </x:c>
      <x:c r="I231" t="str">
        <x:v>0.0</x:v>
      </x:c>
      <x:c r="J231" t="n">
        <x:v>1840</x:v>
      </x:c>
      <x:c r="K231" t="n">
        <x:v>0</x:v>
      </x:c>
    </x:row>
    <x:row r="232">
      <x:c r="A232" t="str">
        <x:v>P0122</x:v>
      </x:c>
      <x:c r="B232" t="str">
        <x:v>Dry Grocery</x:v>
      </x:c>
      <x:c r="C232" t="str">
        <x:v>SUP034</x:v>
      </x:c>
      <x:c r="D232" t="n">
        <x:v>317618.4</x:v>
      </x:c>
      <x:c r="E232" t="n">
        <x:v>278</x:v>
      </x:c>
      <x:c r="F232" t="n">
        <x:v>20</x:v>
      </x:c>
      <x:c r="G232" t="n">
        <x:v>4942</x:v>
      </x:c>
      <x:c r="H232" t="n">
        <x:v>419189.4</x:v>
      </x:c>
      <x:c r="I232" t="str">
        <x:v>0.0</x:v>
      </x:c>
      <x:c r="J232" t="n">
        <x:v>6260</x:v>
      </x:c>
      <x:c r="K232" t="n">
        <x:v>0</x:v>
      </x:c>
    </x:row>
    <x:row r="233">
      <x:c r="A233" t="str">
        <x:v>P0165</x:v>
      </x:c>
      <x:c r="B233" t="str">
        <x:v>Packaging</x:v>
      </x:c>
      <x:c r="C233" t="str">
        <x:v>SUP026</x:v>
      </x:c>
      <x:c r="D233" t="n">
        <x:v>204842.16</x:v>
      </x:c>
      <x:c r="E233" t="n">
        <x:v>2166</x:v>
      </x:c>
      <x:c r="F233" t="n">
        <x:v>139</x:v>
      </x:c>
      <x:c r="G233" t="n">
        <x:v>4510</x:v>
      </x:c>
      <x:c r="H233" t="n">
        <x:v>27429.2</x:v>
      </x:c>
      <x:c r="I233" t="str">
        <x:v>0.0</x:v>
      </x:c>
      <x:c r="J233" t="n">
        <x:v>0</x:v>
      </x:c>
      <x:c r="K233" t="n">
        <x:v>3</x:v>
      </x:c>
    </x:row>
    <x:row r="234">
      <x:c r="A234" t="str">
        <x:v>P0157</x:v>
      </x:c>
      <x:c r="B234" t="str">
        <x:v>Packaging</x:v>
      </x:c>
      <x:c r="C234" t="str">
        <x:v>SUP059</x:v>
      </x:c>
      <x:c r="D234" t="n">
        <x:v>359736.24</x:v>
      </x:c>
      <x:c r="E234" t="n">
        <x:v>426</x:v>
      </x:c>
      <x:c r="F234" t="n">
        <x:v>33</x:v>
      </x:c>
      <x:c r="G234" t="n">
        <x:v>3678</x:v>
      </x:c>
      <x:c r="H234" t="n">
        <x:v>385900.28</x:v>
      </x:c>
      <x:c r="I234" t="str">
        <x:v>0.0</x:v>
      </x:c>
      <x:c r="J234" t="n">
        <x:v>3068</x:v>
      </x:c>
      <x:c r="K234" t="n">
        <x:v>0</x:v>
      </x:c>
    </x:row>
    <x:row r="235">
      <x:c r="A235" t="str">
        <x:v>P0218</x:v>
      </x:c>
      <x:c r="B235" t="str">
        <x:v>Dry Grocery</x:v>
      </x:c>
      <x:c r="C235" t="str">
        <x:v>SUP031</x:v>
      </x:c>
      <x:c r="D235" t="n">
        <x:v>312185.34</x:v>
      </x:c>
      <x:c r="E235" t="n">
        <x:v>83</x:v>
      </x:c>
      <x:c r="F235" t="n">
        <x:v>11</x:v>
      </x:c>
      <x:c r="G235" t="n">
        <x:v>3685</x:v>
      </x:c>
      <x:c r="H235" t="n">
        <x:v>359940.75</x:v>
      </x:c>
      <x:c r="I235" t="str">
        <x:v>0.0</x:v>
      </x:c>
      <x:c r="J235" t="n">
        <x:v>3703</x:v>
      </x:c>
      <x:c r="K235" t="n">
        <x:v>0</x:v>
      </x:c>
    </x:row>
    <x:row r="236">
      <x:c r="A236" t="str">
        <x:v>P0179</x:v>
      </x:c>
      <x:c r="B236" t="str">
        <x:v>Household</x:v>
      </x:c>
      <x:c r="C236" t="str">
        <x:v>SUP027</x:v>
      </x:c>
      <x:c r="D236" t="n">
        <x:v>780994.08</x:v>
      </x:c>
      <x:c r="E236" t="n">
        <x:v>244</x:v>
      </x:c>
      <x:c r="F236" t="n">
        <x:v>12</x:v>
      </x:c>
      <x:c r="G236" t="n">
        <x:v>4198</x:v>
      </x:c>
      <x:c r="H236" t="n">
        <x:v>1327443.84</x:v>
      </x:c>
      <x:c r="I236" t="str">
        <x:v>0.0</x:v>
      </x:c>
      <x:c r="J236" t="n">
        <x:v>7724</x:v>
      </x:c>
      <x:c r="K236" t="n">
        <x:v>0</x:v>
      </x:c>
    </x:row>
    <x:row r="237">
      <x:c r="A237" t="str">
        <x:v>P0453</x:v>
      </x:c>
      <x:c r="B237" t="str">
        <x:v>Packaging</x:v>
      </x:c>
      <x:c r="C237" t="str">
        <x:v>SUP007</x:v>
      </x:c>
      <x:c r="D237" t="n">
        <x:v>540125.54</x:v>
      </x:c>
      <x:c r="E237" t="n">
        <x:v>95</x:v>
      </x:c>
      <x:c r="F237" t="n">
        <x:v>9</x:v>
      </x:c>
      <x:c r="G237" t="n">
        <x:v>2869</x:v>
      </x:c>
      <x:c r="H237" t="n">
        <x:v>219639.82</x:v>
      </x:c>
      <x:c r="I237" t="str">
        <x:v>0.0</x:v>
      </x:c>
      <x:c r="J237" t="n">
        <x:v>45</x:v>
      </x:c>
      <x:c r="K237" t="n">
        <x:v>0</x:v>
      </x:c>
    </x:row>
    <x:row r="238">
      <x:c r="A238" t="str">
        <x:v>P0286</x:v>
      </x:c>
      <x:c r="B238" t="str">
        <x:v>Hardware</x:v>
      </x:c>
      <x:c r="C238" t="str">
        <x:v>SUP037</x:v>
      </x:c>
      <x:c r="D238" t="n">
        <x:v>467730.81</x:v>
      </x:c>
      <x:c r="E238" t="n">
        <x:v>111</x:v>
      </x:c>
      <x:c r="F238" t="n">
        <x:v>5</x:v>
      </x:c>
      <x:c r="G238" t="n">
        <x:v>3468</x:v>
      </x:c>
      <x:c r="H238" t="n">
        <x:v>652606.08</x:v>
      </x:c>
      <x:c r="I238" t="str">
        <x:v>0.0</x:v>
      </x:c>
      <x:c r="J238" t="n">
        <x:v>3618</x:v>
      </x:c>
      <x:c r="K238" t="n">
        <x:v>0</x:v>
      </x:c>
    </x:row>
    <x:row r="239">
      <x:c r="A239" t="str">
        <x:v>P0160</x:v>
      </x:c>
      <x:c r="B239" t="str">
        <x:v>Cleaning</x:v>
      </x:c>
      <x:c r="C239" t="str">
        <x:v>SUP014</x:v>
      </x:c>
      <x:c r="D239" t="n">
        <x:v>226656</x:v>
      </x:c>
      <x:c r="E239" t="n">
        <x:v>652</x:v>
      </x:c>
      <x:c r="F239" t="n">
        <x:v>48</x:v>
      </x:c>
      <x:c r="G239" t="n">
        <x:v>3532</x:v>
      </x:c>
      <x:c r="H239" t="n">
        <x:v>90563.64</x:v>
      </x:c>
      <x:c r="I239" t="str">
        <x:v>0.0</x:v>
      </x:c>
      <x:c r="J239" t="n">
        <x:v>918</x:v>
      </x:c>
      <x:c r="K239" t="n">
        <x:v>1</x:v>
      </x:c>
    </x:row>
    <x:row r="240">
      <x:c r="A240" t="str">
        <x:v>P0097</x:v>
      </x:c>
      <x:c r="B240" t="str">
        <x:v>Beverages</x:v>
      </x:c>
      <x:c r="C240" t="str">
        <x:v>SUP054</x:v>
      </x:c>
      <x:c r="D240" t="n">
        <x:v>894359.97</x:v>
      </x:c>
      <x:c r="E240" t="n">
        <x:v>671</x:v>
      </x:c>
      <x:c r="F240" t="n">
        <x:v>38</x:v>
      </x:c>
      <x:c r="G240" t="n">
        <x:v>5844</x:v>
      </x:c>
      <x:c r="H240" t="n">
        <x:v>340079.15</x:v>
      </x:c>
      <x:c r="I240" t="str">
        <x:v>0.0</x:v>
      </x:c>
      <x:c r="J240" t="n">
        <x:v>811</x:v>
      </x:c>
      <x:c r="K240" t="n">
        <x:v>0</x:v>
      </x:c>
    </x:row>
    <x:row r="241">
      <x:c r="A241" t="str">
        <x:v>P0479</x:v>
      </x:c>
      <x:c r="B241" t="str">
        <x:v>Electrical</x:v>
      </x:c>
      <x:c r="C241" t="str">
        <x:v>SUP040</x:v>
      </x:c>
      <x:c r="D241" t="n">
        <x:v>258646.4</x:v>
      </x:c>
      <x:c r="E241" t="n">
        <x:v>245</x:v>
      </x:c>
      <x:c r="F241" t="n">
        <x:v>19</x:v>
      </x:c>
      <x:c r="G241" t="n">
        <x:v>2341</x:v>
      </x:c>
      <x:c r="H241" t="n">
        <x:v>130699.8</x:v>
      </x:c>
      <x:c r="I241" t="str">
        <x:v>0.0</x:v>
      </x:c>
      <x:c r="J241" t="n">
        <x:v>0</x:v>
      </x:c>
      <x:c r="K241" t="n">
        <x:v>0</x:v>
      </x:c>
    </x:row>
    <x:row r="242">
      <x:c r="A242" t="str">
        <x:v>P0402</x:v>
      </x:c>
      <x:c r="B242" t="str">
        <x:v>Dry Grocery</x:v>
      </x:c>
      <x:c r="C242" t="str">
        <x:v>SUP005</x:v>
      </x:c>
      <x:c r="D242" t="n">
        <x:v>62267.8</x:v>
      </x:c>
      <x:c r="E242" t="n">
        <x:v>290</x:v>
      </x:c>
      <x:c r="F242" t="n">
        <x:v>23</x:v>
      </x:c>
      <x:c r="G242" t="n">
        <x:v>3055</x:v>
      </x:c>
      <x:c r="H242" t="n">
        <x:v>30552</x:v>
      </x:c>
      <x:c r="I242" t="n">
        <x:v>4052.16</x:v>
      </x:c>
      <x:c r="J242" t="n">
        <x:v>865</x:v>
      </x:c>
      <x:c r="K242" t="n">
        <x:v>1</x:v>
      </x:c>
    </x:row>
    <x:row r="243">
      <x:c r="A243" t="str">
        <x:v>P0142</x:v>
      </x:c>
      <x:c r="B243" t="str">
        <x:v>Hardware</x:v>
      </x:c>
      <x:c r="C243" t="str">
        <x:v>SUP010</x:v>
      </x:c>
      <x:c r="D243" t="n">
        <x:v>722920.8</x:v>
      </x:c>
      <x:c r="E243" t="n">
        <x:v>118</x:v>
      </x:c>
      <x:c r="F243" t="n">
        <x:v>11</x:v>
      </x:c>
      <x:c r="G243" t="n">
        <x:v>4003</x:v>
      </x:c>
      <x:c r="H243" t="n">
        <x:v>1019237.04</x:v>
      </x:c>
      <x:c r="I243" t="str">
        <x:v>0.0</x:v>
      </x:c>
      <x:c r="J243" t="n">
        <x:v>6144</x:v>
      </x:c>
      <x:c r="K243" t="n">
        <x:v>0</x:v>
      </x:c>
    </x:row>
    <x:row r="244">
      <x:c r="A244" t="str">
        <x:v>P0054</x:v>
      </x:c>
      <x:c r="B244" t="str">
        <x:v>Hardware</x:v>
      </x:c>
      <x:c r="C244" t="str">
        <x:v>SUP057</x:v>
      </x:c>
      <x:c r="D244" t="n">
        <x:v>779505.34</x:v>
      </x:c>
      <x:c r="E244" t="n">
        <x:v>624</x:v>
      </x:c>
      <x:c r="F244" t="n">
        <x:v>56</x:v>
      </x:c>
      <x:c r="G244" t="n">
        <x:v>7063</x:v>
      </x:c>
      <x:c r="H244" t="n">
        <x:v>158698.43</x:v>
      </x:c>
      <x:c r="I244" t="str">
        <x:v>0.0</x:v>
      </x:c>
      <x:c r="J244" t="n">
        <x:v>651</x:v>
      </x:c>
      <x:c r="K244" t="n">
        <x:v>0</x:v>
      </x:c>
    </x:row>
    <x:row r="245">
      <x:c r="A245" t="str">
        <x:v>P0352</x:v>
      </x:c>
      <x:c r="B245" t="str">
        <x:v>Cleaning</x:v>
      </x:c>
      <x:c r="C245" t="str">
        <x:v>SUP062</x:v>
      </x:c>
      <x:c r="D245" t="n">
        <x:v>548895.42</x:v>
      </x:c>
      <x:c r="E245" t="n">
        <x:v>28</x:v>
      </x:c>
      <x:c r="F245" t="n">
        <x:v>3</x:v>
      </x:c>
      <x:c r="G245" t="n">
        <x:v>3082</x:v>
      </x:c>
      <x:c r="H245" t="n">
        <x:v>928582.42</x:v>
      </x:c>
      <x:c r="I245" t="str">
        <x:v>0.0</x:v>
      </x:c>
      <x:c r="J245" t="n">
        <x:v>5148</x:v>
      </x:c>
      <x:c r="K245" t="n">
        <x:v>0</x:v>
      </x:c>
    </x:row>
    <x:row r="246">
      <x:c r="A246" t="str">
        <x:v>P0250</x:v>
      </x:c>
      <x:c r="B246" t="str">
        <x:v>Dry Grocery</x:v>
      </x:c>
      <x:c r="C246" t="str">
        <x:v>SUP038</x:v>
      </x:c>
      <x:c r="D246" t="n">
        <x:v>449002.95</x:v>
      </x:c>
      <x:c r="E246" t="n">
        <x:v>475</x:v>
      </x:c>
      <x:c r="F246" t="n">
        <x:v>31</x:v>
      </x:c>
      <x:c r="G246" t="n">
        <x:v>2990</x:v>
      </x:c>
      <x:c r="H246" t="n">
        <x:v>213668.37</x:v>
      </x:c>
      <x:c r="I246" t="str">
        <x:v>0.0</x:v>
      </x:c>
      <x:c r="J246" t="n">
        <x:v>578</x:v>
      </x:c>
      <x:c r="K246" t="n">
        <x:v>0</x:v>
      </x:c>
    </x:row>
    <x:row r="247">
      <x:c r="A247" t="str">
        <x:v>P0197</x:v>
      </x:c>
      <x:c r="B247" t="str">
        <x:v>Packaging</x:v>
      </x:c>
      <x:c r="C247" t="str">
        <x:v>SUP046</x:v>
      </x:c>
      <x:c r="D247" t="n">
        <x:v>450462.6</x:v>
      </x:c>
      <x:c r="E247" t="n">
        <x:v>375</x:v>
      </x:c>
      <x:c r="F247" t="n">
        <x:v>27</x:v>
      </x:c>
      <x:c r="G247" t="n">
        <x:v>3945</x:v>
      </x:c>
      <x:c r="H247" t="n">
        <x:v>203133.2</x:v>
      </x:c>
      <x:c r="I247" t="str">
        <x:v>0.0</x:v>
      </x:c>
      <x:c r="J247" t="n">
        <x:v>499</x:v>
      </x:c>
      <x:c r="K247" t="n">
        <x:v>2</x:v>
      </x:c>
    </x:row>
    <x:row r="248">
      <x:c r="A248" t="str">
        <x:v>P0161</x:v>
      </x:c>
      <x:c r="B248" t="str">
        <x:v>Beverages</x:v>
      </x:c>
      <x:c r="C248" t="str">
        <x:v>SUP039</x:v>
      </x:c>
      <x:c r="D248" t="n">
        <x:v>426505.72</x:v>
      </x:c>
      <x:c r="E248" t="n">
        <x:v>175</x:v>
      </x:c>
      <x:c r="F248" t="n">
        <x:v>11</x:v>
      </x:c>
      <x:c r="G248" t="n">
        <x:v>4866</x:v>
      </x:c>
      <x:c r="H248" t="n">
        <x:v>678059.55</x:v>
      </x:c>
      <x:c r="I248" t="str">
        <x:v>0.0</x:v>
      </x:c>
      <x:c r="J248" t="n">
        <x:v>7549</x:v>
      </x:c>
      <x:c r="K248" t="n">
        <x:v>0</x:v>
      </x:c>
    </x:row>
    <x:row r="249">
      <x:c r="A249" t="str">
        <x:v>P0018</x:v>
      </x:c>
      <x:c r="B249" t="str">
        <x:v>Dry Grocery</x:v>
      </x:c>
      <x:c r="C249" t="str">
        <x:v>SUP023</x:v>
      </x:c>
      <x:c r="D249" t="n">
        <x:v>1422229.9</x:v>
      </x:c>
      <x:c r="E249" t="n">
        <x:v>6290</x:v>
      </x:c>
      <x:c r="F249" t="n">
        <x:v>285</x:v>
      </x:c>
      <x:c r="G249" t="n">
        <x:v>15705</x:v>
      </x:c>
      <x:c r="H249" t="n">
        <x:v>182351.82</x:v>
      </x:c>
      <x:c r="I249" t="str">
        <x:v>0.0</x:v>
      </x:c>
      <x:c r="J249" t="n">
        <x:v>231</x:v>
      </x:c>
      <x:c r="K249" t="n">
        <x:v>1</x:v>
      </x:c>
    </x:row>
    <x:row r="250">
      <x:c r="A250" t="str">
        <x:v>P0441</x:v>
      </x:c>
      <x:c r="B250" t="str">
        <x:v>Beverages</x:v>
      </x:c>
      <x:c r="C250" t="str">
        <x:v>SUP036</x:v>
      </x:c>
      <x:c r="D250" t="n">
        <x:v>282639.72</x:v>
      </x:c>
      <x:c r="E250" t="n">
        <x:v>38</x:v>
      </x:c>
      <x:c r="F250" t="n">
        <x:v>3</x:v>
      </x:c>
      <x:c r="G250" t="n">
        <x:v>2357</x:v>
      </x:c>
      <x:c r="H250" t="n">
        <x:v>385848.96</x:v>
      </x:c>
      <x:c r="I250" t="str">
        <x:v>0.0</x:v>
      </x:c>
      <x:c r="J250" t="n">
        <x:v>2403</x:v>
      </x:c>
      <x:c r="K250" t="n">
        <x:v>0</x:v>
      </x:c>
    </x:row>
    <x:row r="251">
      <x:c r="A251" t="str">
        <x:v>P0406</x:v>
      </x:c>
      <x:c r="B251" t="str">
        <x:v>Hardware</x:v>
      </x:c>
      <x:c r="C251" t="str">
        <x:v>SUP021</x:v>
      </x:c>
      <x:c r="D251" t="n">
        <x:v>186954.87</x:v>
      </x:c>
      <x:c r="E251" t="n">
        <x:v>234</x:v>
      </x:c>
      <x:c r="F251" t="n">
        <x:v>21</x:v>
      </x:c>
      <x:c r="G251" t="n">
        <x:v>2517</x:v>
      </x:c>
      <x:c r="H251" t="n">
        <x:v>66274.44</x:v>
      </x:c>
      <x:c r="I251" t="n">
        <x:v>23797.92</x:v>
      </x:c>
      <x:c r="J251" t="n">
        <x:v>10</x:v>
      </x:c>
      <x:c r="K251" t="n">
        <x:v>0</x:v>
      </x:c>
    </x:row>
    <x:row r="252">
      <x:c r="A252" t="str">
        <x:v>P0243</x:v>
      </x:c>
      <x:c r="B252" t="str">
        <x:v>Household</x:v>
      </x:c>
      <x:c r="C252" t="str">
        <x:v>SUP023</x:v>
      </x:c>
      <x:c r="D252" t="n">
        <x:v>238053.92</x:v>
      </x:c>
      <x:c r="E252" t="n">
        <x:v>730</x:v>
      </x:c>
      <x:c r="F252" t="n">
        <x:v>59</x:v>
      </x:c>
      <x:c r="G252" t="n">
        <x:v>3102</x:v>
      </x:c>
      <x:c r="H252" t="n">
        <x:v>93529.15</x:v>
      </x:c>
      <x:c r="I252" t="str">
        <x:v>0.0</x:v>
      </x:c>
      <x:c r="J252" t="n">
        <x:v>390</x:v>
      </x:c>
      <x:c r="K252" t="n">
        <x:v>1</x:v>
      </x:c>
    </x:row>
    <x:row r="253">
      <x:c r="A253" t="str">
        <x:v>P0156</x:v>
      </x:c>
      <x:c r="B253" t="str">
        <x:v>Personal Care</x:v>
      </x:c>
      <x:c r="C253" t="str">
        <x:v>SUP061</x:v>
      </x:c>
      <x:c r="D253" t="n">
        <x:v>584286.48</x:v>
      </x:c>
      <x:c r="E253" t="n">
        <x:v>62</x:v>
      </x:c>
      <x:c r="F253" t="n">
        <x:v>8</x:v>
      </x:c>
      <x:c r="G253" t="n">
        <x:v>4166</x:v>
      </x:c>
      <x:c r="H253" t="n">
        <x:v>382430.55</x:v>
      </x:c>
      <x:c r="I253" t="str">
        <x:v>0.0</x:v>
      </x:c>
      <x:c r="J253" t="n">
        <x:v>1827</x:v>
      </x:c>
      <x:c r="K253" t="n">
        <x:v>0</x:v>
      </x:c>
    </x:row>
    <x:row r="254">
      <x:c r="A254" t="str">
        <x:v>P0057</x:v>
      </x:c>
      <x:c r="B254" t="str">
        <x:v>Beverages</x:v>
      </x:c>
      <x:c r="C254" t="str">
        <x:v>SUP022</x:v>
      </x:c>
      <x:c r="D254" t="n">
        <x:v>338609.48</x:v>
      </x:c>
      <x:c r="E254" t="n">
        <x:v>2007</x:v>
      </x:c>
      <x:c r="F254" t="n">
        <x:v>147</x:v>
      </x:c>
      <x:c r="G254" t="n">
        <x:v>6836</x:v>
      </x:c>
      <x:c r="H254" t="n">
        <x:v>30067.47</x:v>
      </x:c>
      <x:c r="I254" t="str">
        <x:v>0.0</x:v>
      </x:c>
      <x:c r="J254" t="n">
        <x:v>0</x:v>
      </x:c>
      <x:c r="K254" t="n">
        <x:v>0</x:v>
      </x:c>
    </x:row>
    <x:row r="255">
      <x:c r="A255" t="str">
        <x:v>P0448</x:v>
      </x:c>
      <x:c r="B255" t="str">
        <x:v>Cleaning</x:v>
      </x:c>
      <x:c r="C255" t="str">
        <x:v>SUP008</x:v>
      </x:c>
      <x:c r="D255" t="n">
        <x:v>44004.72</x:v>
      </x:c>
      <x:c r="E255" t="n">
        <x:v>320</x:v>
      </x:c>
      <x:c r="F255" t="n">
        <x:v>25</x:v>
      </x:c>
      <x:c r="G255" t="n">
        <x:v>2492</x:v>
      </x:c>
      <x:c r="H255" t="n">
        <x:v>15610.98</x:v>
      </x:c>
      <x:c r="I255" t="n">
        <x:v>10315.76</x:v>
      </x:c>
      <x:c r="J255" t="n">
        <x:v>52</x:v>
      </x:c>
      <x:c r="K255" t="n">
        <x:v>0</x:v>
      </x:c>
    </x:row>
    <x:row r="256">
      <x:c r="A256" t="str">
        <x:v>P0407</x:v>
      </x:c>
      <x:c r="B256" t="str">
        <x:v>Electrical</x:v>
      </x:c>
      <x:c r="C256" t="str">
        <x:v>SUP013</x:v>
      </x:c>
      <x:c r="D256" t="n">
        <x:v>19949.76</x:v>
      </x:c>
      <x:c r="E256" t="n">
        <x:v>28</x:v>
      </x:c>
      <x:c r="F256" t="n">
        <x:v>3</x:v>
      </x:c>
      <x:c r="G256" t="n">
        <x:v>2337</x:v>
      </x:c>
      <x:c r="H256" t="n">
        <x:v>23337.18</x:v>
      </x:c>
      <x:c r="I256" t="str">
        <x:v>0.0</x:v>
      </x:c>
      <x:c r="J256" t="n">
        <x:v>879</x:v>
      </x:c>
      <x:c r="K256" t="n">
        <x:v>0</x:v>
      </x:c>
    </x:row>
    <x:row r="257">
      <x:c r="A257" t="str">
        <x:v>P0398</x:v>
      </x:c>
      <x:c r="B257" t="str">
        <x:v>Hardware</x:v>
      </x:c>
      <x:c r="C257" t="str">
        <x:v>SUP051</x:v>
      </x:c>
      <x:c r="D257" t="n">
        <x:v>104057.1</x:v>
      </x:c>
      <x:c r="E257" t="n">
        <x:v>165</x:v>
      </x:c>
      <x:c r="F257" t="n">
        <x:v>14</x:v>
      </x:c>
      <x:c r="G257" t="n">
        <x:v>2655</x:v>
      </x:c>
      <x:c r="H257" t="n">
        <x:v>53187.12</x:v>
      </x:c>
      <x:c r="I257" t="str">
        <x:v>0.0</x:v>
      </x:c>
      <x:c r="J257" t="n">
        <x:v>557</x:v>
      </x:c>
      <x:c r="K257" t="n">
        <x:v>0</x:v>
      </x:c>
    </x:row>
    <x:row r="258">
      <x:c r="A258" t="str">
        <x:v>P0386</x:v>
      </x:c>
      <x:c r="B258" t="str">
        <x:v>Dry Grocery</x:v>
      </x:c>
      <x:c r="C258" t="str">
        <x:v>SUP059</x:v>
      </x:c>
      <x:c r="D258" t="n">
        <x:v>494599.6</x:v>
      </x:c>
      <x:c r="E258" t="n">
        <x:v>341</x:v>
      </x:c>
      <x:c r="F258" t="n">
        <x:v>24</x:v>
      </x:c>
      <x:c r="G258" t="n">
        <x:v>2761</x:v>
      </x:c>
      <x:c r="H258" t="n">
        <x:v>261632.52</x:v>
      </x:c>
      <x:c r="I258" t="str">
        <x:v>0.0</x:v>
      </x:c>
      <x:c r="J258" t="n">
        <x:v>698</x:v>
      </x:c>
      <x:c r="K258" t="n">
        <x:v>1</x:v>
      </x:c>
    </x:row>
    <x:row r="259">
      <x:c r="A259" t="str">
        <x:v>P0458</x:v>
      </x:c>
      <x:c r="B259" t="str">
        <x:v>Dry Grocery</x:v>
      </x:c>
      <x:c r="C259" t="str">
        <x:v>SUP023</x:v>
      </x:c>
      <x:c r="D259" t="n">
        <x:v>117522.79</x:v>
      </x:c>
      <x:c r="E259" t="n">
        <x:v>209</x:v>
      </x:c>
      <x:c r="F259" t="n">
        <x:v>12</x:v>
      </x:c>
      <x:c r="G259" t="n">
        <x:v>2442</x:v>
      </x:c>
      <x:c r="H259" t="n">
        <x:v>39226.26</x:v>
      </x:c>
      <x:c r="I259" t="str">
        <x:v>0.0</x:v>
      </x:c>
      <x:c r="J259" t="n">
        <x:v>61</x:v>
      </x:c>
      <x:c r="K259" t="n">
        <x:v>2</x:v>
      </x:c>
    </x:row>
    <x:row r="260">
      <x:c r="A260" t="str">
        <x:v>P0079</x:v>
      </x:c>
      <x:c r="B260" t="str">
        <x:v>Electrical</x:v>
      </x:c>
      <x:c r="C260" t="str">
        <x:v>SUP037</x:v>
      </x:c>
      <x:c r="D260" t="n">
        <x:v>171128.32</x:v>
      </x:c>
      <x:c r="E260" t="n">
        <x:v>142</x:v>
      </x:c>
      <x:c r="F260" t="n">
        <x:v>8</x:v>
      </x:c>
      <x:c r="G260" t="n">
        <x:v>6734</x:v>
      </x:c>
      <x:c r="H260" t="n">
        <x:v>164427.64</x:v>
      </x:c>
      <x:c r="I260" t="str">
        <x:v>0.0</x:v>
      </x:c>
      <x:c r="J260" t="n">
        <x:v>7632</x:v>
      </x:c>
      <x:c r="K260" t="n">
        <x:v>0</x:v>
      </x:c>
    </x:row>
    <x:row r="261">
      <x:c r="A261" t="str">
        <x:v>P0093</x:v>
      </x:c>
      <x:c r="B261" t="str">
        <x:v>Packaging</x:v>
      </x:c>
      <x:c r="C261" t="str">
        <x:v>SUP057</x:v>
      </x:c>
      <x:c r="D261" t="n">
        <x:v>243733.2</x:v>
      </x:c>
      <x:c r="E261" t="n">
        <x:v>1478</x:v>
      </x:c>
      <x:c r="F261" t="n">
        <x:v>88</x:v>
      </x:c>
      <x:c r="G261" t="n">
        <x:v>5518</x:v>
      </x:c>
      <x:c r="H261" t="n">
        <x:v>60920.8</x:v>
      </x:c>
      <x:c r="I261" t="str">
        <x:v>0.0</x:v>
      </x:c>
      <x:c r="J261" t="n">
        <x:v>413</x:v>
      </x:c>
      <x:c r="K261" t="n">
        <x:v>1</x:v>
      </x:c>
    </x:row>
    <x:row r="262">
      <x:c r="A262" t="str">
        <x:v>P0350</x:v>
      </x:c>
      <x:c r="B262" t="str">
        <x:v>Hardware</x:v>
      </x:c>
      <x:c r="C262" t="str">
        <x:v>SUP035</x:v>
      </x:c>
      <x:c r="D262" t="n">
        <x:v>263468.12</x:v>
      </x:c>
      <x:c r="E262" t="n">
        <x:v>892</x:v>
      </x:c>
      <x:c r="F262" t="n">
        <x:v>56</x:v>
      </x:c>
      <x:c r="G262" t="n">
        <x:v>3549</x:v>
      </x:c>
      <x:c r="H262" t="n">
        <x:v>108312.42</x:v>
      </x:c>
      <x:c r="I262" t="str">
        <x:v>0.0</x:v>
      </x:c>
      <x:c r="J262" t="n">
        <x:v>0</x:v>
      </x:c>
      <x:c r="K262" t="n">
        <x:v>1</x:v>
      </x:c>
    </x:row>
    <x:row r="263">
      <x:c r="A263" t="str">
        <x:v>P0230</x:v>
      </x:c>
      <x:c r="B263" t="str">
        <x:v>Hardware</x:v>
      </x:c>
      <x:c r="C263" t="str">
        <x:v>SUP031</x:v>
      </x:c>
      <x:c r="D263" t="n">
        <x:v>356731.56</x:v>
      </x:c>
      <x:c r="E263" t="n">
        <x:v>78</x:v>
      </x:c>
      <x:c r="F263" t="n">
        <x:v>6</x:v>
      </x:c>
      <x:c r="G263" t="n">
        <x:v>3777</x:v>
      </x:c>
      <x:c r="H263" t="n">
        <x:v>450813.34</x:v>
      </x:c>
      <x:c r="I263" t="str">
        <x:v>0.0</x:v>
      </x:c>
      <x:c r="J263" t="n">
        <x:v>5516</x:v>
      </x:c>
      <x:c r="K263" t="n">
        <x:v>0</x:v>
      </x:c>
    </x:row>
    <x:row r="264">
      <x:c r="A264" t="str">
        <x:v>P0065</x:v>
      </x:c>
      <x:c r="B264" t="str">
        <x:v>Beverages</x:v>
      </x:c>
      <x:c r="C264" t="str">
        <x:v>SUP035</x:v>
      </x:c>
      <x:c r="D264" t="n">
        <x:v>825782.4</x:v>
      </x:c>
      <x:c r="E264" t="n">
        <x:v>244</x:v>
      </x:c>
      <x:c r="F264" t="n">
        <x:v>18</x:v>
      </x:c>
      <x:c r="G264" t="n">
        <x:v>6604</x:v>
      </x:c>
      <x:c r="H264" t="n">
        <x:v>321017.58</x:v>
      </x:c>
      <x:c r="I264" t="str">
        <x:v>0.0</x:v>
      </x:c>
      <x:c r="J264" t="n">
        <x:v>1226</x:v>
      </x:c>
      <x:c r="K264" t="n">
        <x:v>0</x:v>
      </x:c>
    </x:row>
    <x:row r="265">
      <x:c r="A265" t="str">
        <x:v>P0209</x:v>
      </x:c>
      <x:c r="B265" t="str">
        <x:v>Beverages</x:v>
      </x:c>
      <x:c r="C265" t="str">
        <x:v>SUP047</x:v>
      </x:c>
      <x:c r="D265" t="n">
        <x:v>226690.08</x:v>
      </x:c>
      <x:c r="E265" t="n">
        <x:v>159</x:v>
      </x:c>
      <x:c r="F265" t="n">
        <x:v>8</x:v>
      </x:c>
      <x:c r="G265" t="n">
        <x:v>3247</x:v>
      </x:c>
      <x:c r="H265" t="n">
        <x:v>524217.17</x:v>
      </x:c>
      <x:c r="I265" t="str">
        <x:v>0.0</x:v>
      </x:c>
      <x:c r="J265" t="n">
        <x:v>6343</x:v>
      </x:c>
      <x:c r="K265" t="n">
        <x:v>0</x:v>
      </x:c>
    </x:row>
    <x:row r="266">
      <x:c r="A266" t="str">
        <x:v>P0401</x:v>
      </x:c>
      <x:c r="B266" t="str">
        <x:v>Beverages</x:v>
      </x:c>
      <x:c r="C266" t="str">
        <x:v>SUP043</x:v>
      </x:c>
      <x:c r="D266" t="n">
        <x:v>440872.08</x:v>
      </x:c>
      <x:c r="E266" t="n">
        <x:v>133</x:v>
      </x:c>
      <x:c r="F266" t="n">
        <x:v>8</x:v>
      </x:c>
      <x:c r="G266" t="n">
        <x:v>2861</x:v>
      </x:c>
      <x:c r="H266" t="n">
        <x:v>671834.3</x:v>
      </x:c>
      <x:c r="I266" t="str">
        <x:v>0.0</x:v>
      </x:c>
      <x:c r="J266" t="n">
        <x:v>3570</x:v>
      </x:c>
      <x:c r="K266" t="n">
        <x:v>0</x:v>
      </x:c>
    </x:row>
    <x:row r="267">
      <x:c r="A267" t="str">
        <x:v>P0376</x:v>
      </x:c>
      <x:c r="B267" t="str">
        <x:v>Cleaning</x:v>
      </x:c>
      <x:c r="C267" t="str">
        <x:v>SUP009</x:v>
      </x:c>
      <x:c r="D267" t="n">
        <x:v>446295.95</x:v>
      </x:c>
      <x:c r="E267" t="n">
        <x:v>26</x:v>
      </x:c>
      <x:c r="F267" t="n">
        <x:v>3</x:v>
      </x:c>
      <x:c r="G267" t="n">
        <x:v>2605</x:v>
      </x:c>
      <x:c r="H267" t="n">
        <x:v>721578.27</x:v>
      </x:c>
      <x:c r="I267" t="str">
        <x:v>0.0</x:v>
      </x:c>
      <x:c r="J267" t="n">
        <x:v>1989</x:v>
      </x:c>
      <x:c r="K267" t="n">
        <x:v>0</x:v>
      </x:c>
    </x:row>
    <x:row r="268">
      <x:c r="A268" t="str">
        <x:v>P0297</x:v>
      </x:c>
      <x:c r="B268" t="str">
        <x:v>Beverages</x:v>
      </x:c>
      <x:c r="C268" t="str">
        <x:v>SUP022</x:v>
      </x:c>
      <x:c r="D268" t="n">
        <x:v>242944.26</x:v>
      </x:c>
      <x:c r="E268" t="n">
        <x:v>1431</x:v>
      </x:c>
      <x:c r="F268" t="n">
        <x:v>106</x:v>
      </x:c>
      <x:c r="G268" t="n">
        <x:v>3628</x:v>
      </x:c>
      <x:c r="H268" t="n">
        <x:v>13542.61</x:v>
      </x:c>
      <x:c r="I268" t="str">
        <x:v>0.0</x:v>
      </x:c>
      <x:c r="J268" t="n">
        <x:v>0</x:v>
      </x:c>
      <x:c r="K268" t="n">
        <x:v>3</x:v>
      </x:c>
    </x:row>
    <x:row r="269">
      <x:c r="A269" t="str">
        <x:v>P0138</x:v>
      </x:c>
      <x:c r="B269" t="str">
        <x:v>Dry Grocery</x:v>
      </x:c>
      <x:c r="C269" t="str">
        <x:v>SUP032</x:v>
      </x:c>
      <x:c r="D269" t="n">
        <x:v>262129.92</x:v>
      </x:c>
      <x:c r="E269" t="n">
        <x:v>139</x:v>
      </x:c>
      <x:c r="F269" t="n">
        <x:v>11</x:v>
      </x:c>
      <x:c r="G269" t="n">
        <x:v>4741</x:v>
      </x:c>
      <x:c r="H269" t="n">
        <x:v>857538.11</x:v>
      </x:c>
      <x:c r="I269" t="str">
        <x:v>0.0</x:v>
      </x:c>
      <x:c r="J269" t="n">
        <x:v>20999</x:v>
      </x:c>
      <x:c r="K269" t="n">
        <x:v>0</x:v>
      </x:c>
    </x:row>
    <x:row r="270">
      <x:c r="A270" t="str">
        <x:v>P0214</x:v>
      </x:c>
      <x:c r="B270" t="str">
        <x:v>Hardware</x:v>
      </x:c>
      <x:c r="C270" t="str">
        <x:v>SUP035</x:v>
      </x:c>
      <x:c r="D270" t="n">
        <x:v>62973.36</x:v>
      </x:c>
      <x:c r="E270" t="n">
        <x:v>203</x:v>
      </x:c>
      <x:c r="F270" t="n">
        <x:v>14</x:v>
      </x:c>
      <x:c r="G270" t="n">
        <x:v>3725</x:v>
      </x:c>
      <x:c r="H270" t="n">
        <x:v>24188.71</x:v>
      </x:c>
      <x:c r="I270" t="str">
        <x:v>0.0</x:v>
      </x:c>
      <x:c r="J270" t="n">
        <x:v>640</x:v>
      </x:c>
      <x:c r="K270" t="n">
        <x:v>0</x:v>
      </x:c>
    </x:row>
    <x:row r="271">
      <x:c r="A271" t="str">
        <x:v>P0120</x:v>
      </x:c>
      <x:c r="B271" t="str">
        <x:v>Cleaning</x:v>
      </x:c>
      <x:c r="C271" t="str">
        <x:v>SUP003</x:v>
      </x:c>
      <x:c r="D271" t="n">
        <x:v>402962.43</x:v>
      </x:c>
      <x:c r="E271" t="n">
        <x:v>1402</x:v>
      </x:c>
      <x:c r="F271" t="n">
        <x:v>91</x:v>
      </x:c>
      <x:c r="G271" t="n">
        <x:v>5055</x:v>
      </x:c>
      <x:c r="H271" t="n">
        <x:v>183494.12</x:v>
      </x:c>
      <x:c r="I271" t="str">
        <x:v>0.0</x:v>
      </x:c>
      <x:c r="J271" t="n">
        <x:v>742</x:v>
      </x:c>
      <x:c r="K271" t="n">
        <x:v>1</x:v>
      </x:c>
    </x:row>
    <x:row r="272">
      <x:c r="A272" t="str">
        <x:v>P0344</x:v>
      </x:c>
      <x:c r="B272" t="str">
        <x:v>Cleaning</x:v>
      </x:c>
      <x:c r="C272" t="str">
        <x:v>SUP050</x:v>
      </x:c>
      <x:c r="D272" t="n">
        <x:v>113892.35</x:v>
      </x:c>
      <x:c r="E272" t="n">
        <x:v>373</x:v>
      </x:c>
      <x:c r="F272" t="n">
        <x:v>29</x:v>
      </x:c>
      <x:c r="G272" t="n">
        <x:v>2804</x:v>
      </x:c>
      <x:c r="H272" t="n">
        <x:v>68715.12</x:v>
      </x:c>
      <x:c r="I272" t="str">
        <x:v>0.0</x:v>
      </x:c>
      <x:c r="J272" t="n">
        <x:v>1120</x:v>
      </x:c>
      <x:c r="K272" t="n">
        <x:v>1</x:v>
      </x:c>
    </x:row>
    <x:row r="273">
      <x:c r="A273" t="str">
        <x:v>P0213</x:v>
      </x:c>
      <x:c r="B273" t="str">
        <x:v>Packaging</x:v>
      </x:c>
      <x:c r="C273" t="str">
        <x:v>SUP054</x:v>
      </x:c>
      <x:c r="D273" t="n">
        <x:v>599788.8</x:v>
      </x:c>
      <x:c r="E273" t="n">
        <x:v>369</x:v>
      </x:c>
      <x:c r="F273" t="n">
        <x:v>19</x:v>
      </x:c>
      <x:c r="G273" t="n">
        <x:v>3825</x:v>
      </x:c>
      <x:c r="H273" t="n">
        <x:v>178640.42</x:v>
      </x:c>
      <x:c r="I273" t="str">
        <x:v>0.0</x:v>
      </x:c>
      <x:c r="J273" t="n">
        <x:v>0</x:v>
      </x:c>
      <x:c r="K273" t="n">
        <x:v>1</x:v>
      </x:c>
    </x:row>
    <x:row r="274">
      <x:c r="A274" t="str">
        <x:v>P0259</x:v>
      </x:c>
      <x:c r="B274" t="str">
        <x:v>Household</x:v>
      </x:c>
      <x:c r="C274" t="str">
        <x:v>SUP024</x:v>
      </x:c>
      <x:c r="D274" t="n">
        <x:v>56638.54</x:v>
      </x:c>
      <x:c r="E274" t="n">
        <x:v>1641</x:v>
      </x:c>
      <x:c r="F274" t="n">
        <x:v>109</x:v>
      </x:c>
      <x:c r="G274" t="n">
        <x:v>3559</x:v>
      </x:c>
      <x:c r="H274" t="n">
        <x:v>12349.12</x:v>
      </x:c>
      <x:c r="I274" t="str">
        <x:v>0.0</x:v>
      </x:c>
      <x:c r="J274" t="n">
        <x:v>0</x:v>
      </x:c>
      <x:c r="K274" t="n">
        <x:v>2</x:v>
      </x:c>
    </x:row>
    <x:row r="275">
      <x:c r="A275" t="str">
        <x:v>P0241</x:v>
      </x:c>
      <x:c r="B275" t="str">
        <x:v>Beverages</x:v>
      </x:c>
      <x:c r="C275" t="str">
        <x:v>SUP013</x:v>
      </x:c>
      <x:c r="D275" t="n">
        <x:v>332369.38</x:v>
      </x:c>
      <x:c r="E275" t="n">
        <x:v>145</x:v>
      </x:c>
      <x:c r="F275" t="n">
        <x:v>17</x:v>
      </x:c>
      <x:c r="G275" t="n">
        <x:v>2868</x:v>
      </x:c>
      <x:c r="H275" t="n">
        <x:v>157803.48</x:v>
      </x:c>
      <x:c r="I275" t="str">
        <x:v>0.0</x:v>
      </x:c>
      <x:c r="J275" t="n">
        <x:v>571</x:v>
      </x:c>
      <x:c r="K275" t="n">
        <x:v>1</x:v>
      </x:c>
    </x:row>
    <x:row r="276">
      <x:c r="A276" t="str">
        <x:v>P0292</x:v>
      </x:c>
      <x:c r="B276" t="str">
        <x:v>Personal Care</x:v>
      </x:c>
      <x:c r="C276" t="str">
        <x:v>SUP049</x:v>
      </x:c>
      <x:c r="D276" t="n">
        <x:v>233287.45</x:v>
      </x:c>
      <x:c r="E276" t="n">
        <x:v>170</x:v>
      </x:c>
      <x:c r="F276" t="n">
        <x:v>15</x:v>
      </x:c>
      <x:c r="G276" t="n">
        <x:v>2979</x:v>
      </x:c>
      <x:c r="H276" t="n">
        <x:v>61227.7</x:v>
      </x:c>
      <x:c r="I276" t="str">
        <x:v>0.0</x:v>
      </x:c>
      <x:c r="J276" t="n">
        <x:v>0</x:v>
      </x:c>
      <x:c r="K276" t="n">
        <x:v>1</x:v>
      </x:c>
    </x:row>
    <x:row r="277">
      <x:c r="A277" t="str">
        <x:v>P0272</x:v>
      </x:c>
      <x:c r="B277" t="str">
        <x:v>Cleaning</x:v>
      </x:c>
      <x:c r="C277" t="str">
        <x:v>SUP002</x:v>
      </x:c>
      <x:c r="D277" t="n">
        <x:v>319561.35</x:v>
      </x:c>
      <x:c r="E277" t="n">
        <x:v>948</x:v>
      </x:c>
      <x:c r="F277" t="n">
        <x:v>68</x:v>
      </x:c>
      <x:c r="G277" t="n">
        <x:v>3309</x:v>
      </x:c>
      <x:c r="H277" t="n">
        <x:v>43305.8</x:v>
      </x:c>
      <x:c r="I277" t="str">
        <x:v>0.0</x:v>
      </x:c>
      <x:c r="J277" t="n">
        <x:v>0</x:v>
      </x:c>
      <x:c r="K277" t="n">
        <x:v>1</x:v>
      </x:c>
    </x:row>
    <x:row r="278">
      <x:c r="A278" t="str">
        <x:v>P0115</x:v>
      </x:c>
      <x:c r="B278" t="str">
        <x:v>Household</x:v>
      </x:c>
      <x:c r="C278" t="str">
        <x:v>SUP041</x:v>
      </x:c>
      <x:c r="D278" t="n">
        <x:v>480547.08</x:v>
      </x:c>
      <x:c r="E278" t="n">
        <x:v>1349</x:v>
      </x:c>
      <x:c r="F278" t="n">
        <x:v>95</x:v>
      </x:c>
      <x:c r="G278" t="n">
        <x:v>5152</x:v>
      </x:c>
      <x:c r="H278" t="n">
        <x:v>177775.78</x:v>
      </x:c>
      <x:c r="I278" t="str">
        <x:v>0.0</x:v>
      </x:c>
      <x:c r="J278" t="n">
        <x:v>630</x:v>
      </x:c>
      <x:c r="K278" t="n">
        <x:v>0</x:v>
      </x:c>
    </x:row>
    <x:row r="279">
      <x:c r="A279" t="str">
        <x:v>P0094</x:v>
      </x:c>
      <x:c r="B279" t="str">
        <x:v>Hardware</x:v>
      </x:c>
      <x:c r="C279" t="str">
        <x:v>SUP010</x:v>
      </x:c>
      <x:c r="D279" t="n">
        <x:v>626894.07</x:v>
      </x:c>
      <x:c r="E279" t="n">
        <x:v>205</x:v>
      </x:c>
      <x:c r="F279" t="n">
        <x:v>10</x:v>
      </x:c>
      <x:c r="G279" t="n">
        <x:v>5606</x:v>
      </x:c>
      <x:c r="H279" t="n">
        <x:v>859144.86</x:v>
      </x:c>
      <x:c r="I279" t="str">
        <x:v>0.0</x:v>
      </x:c>
      <x:c r="J279" t="n">
        <x:v>7501</x:v>
      </x:c>
      <x:c r="K279" t="n">
        <x:v>0</x:v>
      </x:c>
    </x:row>
    <x:row r="280">
      <x:c r="A280" t="str">
        <x:v>P0224</x:v>
      </x:c>
      <x:c r="B280" t="str">
        <x:v>Cleaning</x:v>
      </x:c>
      <x:c r="C280" t="str">
        <x:v>SUP001</x:v>
      </x:c>
      <x:c r="D280" t="n">
        <x:v>405160.66</x:v>
      </x:c>
      <x:c r="E280" t="n">
        <x:v>196</x:v>
      </x:c>
      <x:c r="F280" t="n">
        <x:v>16</x:v>
      </x:c>
      <x:c r="G280" t="n">
        <x:v>3443</x:v>
      </x:c>
      <x:c r="H280" t="n">
        <x:v>377353.96</x:v>
      </x:c>
      <x:c r="I280" t="str">
        <x:v>0.0</x:v>
      </x:c>
      <x:c r="J280" t="n">
        <x:v>1412</x:v>
      </x:c>
      <x:c r="K280" t="n">
        <x:v>0</x:v>
      </x:c>
    </x:row>
    <x:row r="281">
      <x:c r="A281" t="str">
        <x:v>P0262</x:v>
      </x:c>
      <x:c r="B281" t="str">
        <x:v>Hardware</x:v>
      </x:c>
      <x:c r="C281" t="str">
        <x:v>SUP047</x:v>
      </x:c>
      <x:c r="D281" t="n">
        <x:v>625190.4</x:v>
      </x:c>
      <x:c r="E281" t="n">
        <x:v>156</x:v>
      </x:c>
      <x:c r="F281" t="n">
        <x:v>10</x:v>
      </x:c>
      <x:c r="G281" t="n">
        <x:v>3372</x:v>
      </x:c>
      <x:c r="H281" t="n">
        <x:v>875814.5</x:v>
      </x:c>
      <x:c r="I281" t="str">
        <x:v>0.0</x:v>
      </x:c>
      <x:c r="J281" t="n">
        <x:v>3250</x:v>
      </x:c>
      <x:c r="K281" t="n">
        <x:v>0</x:v>
      </x:c>
    </x:row>
    <x:row r="282">
      <x:c r="A282" t="str">
        <x:v>P0114</x:v>
      </x:c>
      <x:c r="B282" t="str">
        <x:v>Dry Grocery</x:v>
      </x:c>
      <x:c r="C282" t="str">
        <x:v>SUP004</x:v>
      </x:c>
      <x:c r="D282" t="n">
        <x:v>551605.04</x:v>
      </x:c>
      <x:c r="E282" t="n">
        <x:v>753</x:v>
      </x:c>
      <x:c r="F282" t="n">
        <x:v>43</x:v>
      </x:c>
      <x:c r="G282" t="n">
        <x:v>5317</x:v>
      </x:c>
      <x:c r="H282" t="n">
        <x:v>100935.55</x:v>
      </x:c>
      <x:c r="I282" t="str">
        <x:v>0.0</x:v>
      </x:c>
      <x:c r="J282" t="n">
        <x:v>0</x:v>
      </x:c>
      <x:c r="K282" t="n">
        <x:v>0</x:v>
      </x:c>
    </x:row>
    <x:row r="283">
      <x:c r="A283" t="str">
        <x:v>P0455</x:v>
      </x:c>
      <x:c r="B283" t="str">
        <x:v>Electrical</x:v>
      </x:c>
      <x:c r="C283" t="str">
        <x:v>SUP037</x:v>
      </x:c>
      <x:c r="D283" t="n">
        <x:v>464193.6</x:v>
      </x:c>
      <x:c r="E283" t="n">
        <x:v>38</x:v>
      </x:c>
      <x:c r="F283" t="n">
        <x:v>3</x:v>
      </x:c>
      <x:c r="G283" t="n">
        <x:v>2633</x:v>
      </x:c>
      <x:c r="H283" t="n">
        <x:v>648481.5</x:v>
      </x:c>
      <x:c r="I283" t="str">
        <x:v>0.0</x:v>
      </x:c>
      <x:c r="J283" t="n">
        <x:v>3668</x:v>
      </x:c>
      <x:c r="K283" t="n">
        <x:v>0</x:v>
      </x:c>
    </x:row>
    <x:row r="284">
      <x:c r="A284" t="str">
        <x:v>P0106</x:v>
      </x:c>
      <x:c r="B284" t="str">
        <x:v>Dry Grocery</x:v>
      </x:c>
      <x:c r="C284" t="str">
        <x:v>SUP024</x:v>
      </x:c>
      <x:c r="D284" t="n">
        <x:v>178011.63</x:v>
      </x:c>
      <x:c r="E284" t="n">
        <x:v>1232</x:v>
      </x:c>
      <x:c r="F284" t="n">
        <x:v>95</x:v>
      </x:c>
      <x:c r="G284" t="n">
        <x:v>4783</x:v>
      </x:c>
      <x:c r="H284" t="n">
        <x:v>16406.88</x:v>
      </x:c>
      <x:c r="I284" t="str">
        <x:v>0.0</x:v>
      </x:c>
      <x:c r="J284" t="n">
        <x:v>0</x:v>
      </x:c>
      <x:c r="K284" t="n">
        <x:v>3</x:v>
      </x:c>
    </x:row>
    <x:row r="285">
      <x:c r="A285" t="str">
        <x:v>P0256</x:v>
      </x:c>
      <x:c r="B285" t="str">
        <x:v>Cleaning</x:v>
      </x:c>
      <x:c r="C285" t="str">
        <x:v>SUP019</x:v>
      </x:c>
      <x:c r="D285" t="n">
        <x:v>516273.08</x:v>
      </x:c>
      <x:c r="E285" t="n">
        <x:v>235</x:v>
      </x:c>
      <x:c r="F285" t="n">
        <x:v>19</x:v>
      </x:c>
      <x:c r="G285" t="n">
        <x:v>3599</x:v>
      </x:c>
      <x:c r="H285" t="n">
        <x:v>45772.65</x:v>
      </x:c>
      <x:c r="I285" t="str">
        <x:v>0.0</x:v>
      </x:c>
      <x:c r="J285" t="n">
        <x:v>0</x:v>
      </x:c>
      <x:c r="K285" t="n">
        <x:v>2</x:v>
      </x:c>
    </x:row>
    <x:row r="286">
      <x:c r="A286" t="str">
        <x:v>P0212</x:v>
      </x:c>
      <x:c r="B286" t="str">
        <x:v>Personal Care</x:v>
      </x:c>
      <x:c r="C286" t="str">
        <x:v>SUP055</x:v>
      </x:c>
      <x:c r="D286" t="n">
        <x:v>290078.3</x:v>
      </x:c>
      <x:c r="E286" t="n">
        <x:v>142</x:v>
      </x:c>
      <x:c r="F286" t="n">
        <x:v>10</x:v>
      </x:c>
      <x:c r="G286" t="n">
        <x:v>3477</x:v>
      </x:c>
      <x:c r="H286" t="n">
        <x:v>499279.2</x:v>
      </x:c>
      <x:c r="I286" t="str">
        <x:v>0.0</x:v>
      </x:c>
      <x:c r="J286" t="n">
        <x:v>5530</x:v>
      </x:c>
      <x:c r="K286" t="n">
        <x:v>0</x:v>
      </x:c>
    </x:row>
    <x:row r="287">
      <x:c r="A287" t="str">
        <x:v>P0336</x:v>
      </x:c>
      <x:c r="B287" t="str">
        <x:v>Cleaning</x:v>
      </x:c>
      <x:c r="C287" t="str">
        <x:v>SUP007</x:v>
      </x:c>
      <x:c r="D287" t="n">
        <x:v>237446.16</x:v>
      </x:c>
      <x:c r="E287" t="n">
        <x:v>372</x:v>
      </x:c>
      <x:c r="F287" t="n">
        <x:v>31</x:v>
      </x:c>
      <x:c r="G287" t="n">
        <x:v>2689</x:v>
      </x:c>
      <x:c r="H287" t="n">
        <x:v>141588.6</x:v>
      </x:c>
      <x:c r="I287" t="str">
        <x:v>0.0</x:v>
      </x:c>
      <x:c r="J287" t="n">
        <x:v>577</x:v>
      </x:c>
      <x:c r="K287" t="n">
        <x:v>1</x:v>
      </x:c>
    </x:row>
    <x:row r="288">
      <x:c r="A288" t="str">
        <x:v>P0320</x:v>
      </x:c>
      <x:c r="B288" t="str">
        <x:v>Cleaning</x:v>
      </x:c>
      <x:c r="C288" t="str">
        <x:v>SUP052</x:v>
      </x:c>
      <x:c r="D288" t="n">
        <x:v>485307.16</x:v>
      </x:c>
      <x:c r="E288" t="n">
        <x:v>155</x:v>
      </x:c>
      <x:c r="F288" t="n">
        <x:v>8</x:v>
      </x:c>
      <x:c r="G288" t="n">
        <x:v>3028</x:v>
      </x:c>
      <x:c r="H288" t="n">
        <x:v>224166.69</x:v>
      </x:c>
      <x:c r="I288" t="str">
        <x:v>0.0</x:v>
      </x:c>
      <x:c r="J288" t="n">
        <x:v>28</x:v>
      </x:c>
      <x:c r="K288" t="n">
        <x:v>0</x:v>
      </x:c>
    </x:row>
    <x:row r="289">
      <x:c r="A289" t="str">
        <x:v>P0436</x:v>
      </x:c>
      <x:c r="B289" t="str">
        <x:v>Personal Care</x:v>
      </x:c>
      <x:c r="C289" t="str">
        <x:v>SUP063</x:v>
      </x:c>
      <x:c r="D289" t="n">
        <x:v>243540.76</x:v>
      </x:c>
      <x:c r="E289" t="n">
        <x:v>100</x:v>
      </x:c>
      <x:c r="F289" t="n">
        <x:v>6</x:v>
      </x:c>
      <x:c r="G289" t="n">
        <x:v>2624</x:v>
      </x:c>
      <x:c r="H289" t="n">
        <x:v>310034.97</x:v>
      </x:c>
      <x:c r="I289" t="str">
        <x:v>0.0</x:v>
      </x:c>
      <x:c r="J289" t="n">
        <x:v>1436</x:v>
      </x:c>
      <x:c r="K289" t="n">
        <x:v>0</x:v>
      </x:c>
    </x:row>
    <x:row r="290">
      <x:c r="A290" t="str">
        <x:v>P0410</x:v>
      </x:c>
      <x:c r="B290" t="str">
        <x:v>Dry Grocery</x:v>
      </x:c>
      <x:c r="C290" t="str">
        <x:v>SUP022</x:v>
      </x:c>
      <x:c r="D290" t="n">
        <x:v>46256</x:v>
      </x:c>
      <x:c r="E290" t="n">
        <x:v>537</x:v>
      </x:c>
      <x:c r="F290" t="n">
        <x:v>34</x:v>
      </x:c>
      <x:c r="G290" t="n">
        <x:v>2897</x:v>
      </x:c>
      <x:c r="H290" t="n">
        <x:v>7372.68</x:v>
      </x:c>
      <x:c r="I290" t="str">
        <x:v>0.0</x:v>
      </x:c>
      <x:c r="J290" t="n">
        <x:v>0</x:v>
      </x:c>
      <x:c r="K290" t="n">
        <x:v>1</x:v>
      </x:c>
    </x:row>
    <x:row r="291">
      <x:c r="A291" t="str">
        <x:v>P0103</x:v>
      </x:c>
      <x:c r="B291" t="str">
        <x:v>Electrical</x:v>
      </x:c>
      <x:c r="C291" t="str">
        <x:v>SUP003</x:v>
      </x:c>
      <x:c r="D291" t="n">
        <x:v>535559.71</x:v>
      </x:c>
      <x:c r="E291" t="n">
        <x:v>1035</x:v>
      </x:c>
      <x:c r="F291" t="n">
        <x:v>75</x:v>
      </x:c>
      <x:c r="G291" t="n">
        <x:v>5326</x:v>
      </x:c>
      <x:c r="H291" t="n">
        <x:v>69817.5</x:v>
      </x:c>
      <x:c r="I291" t="str">
        <x:v>0.0</x:v>
      </x:c>
      <x:c r="J291" t="n">
        <x:v>446</x:v>
      </x:c>
      <x:c r="K291" t="n">
        <x:v>2</x:v>
      </x:c>
    </x:row>
    <x:row r="292">
      <x:c r="A292" t="str">
        <x:v>P0469</x:v>
      </x:c>
      <x:c r="B292" t="str">
        <x:v>Packaging</x:v>
      </x:c>
      <x:c r="C292" t="str">
        <x:v>SUP052</x:v>
      </x:c>
      <x:c r="D292" t="n">
        <x:v>247538.96</x:v>
      </x:c>
      <x:c r="E292" t="n">
        <x:v>467</x:v>
      </x:c>
      <x:c r="F292" t="n">
        <x:v>31</x:v>
      </x:c>
      <x:c r="G292" t="n">
        <x:v>3003</x:v>
      </x:c>
      <x:c r="H292" t="n">
        <x:v>73791.9</x:v>
      </x:c>
      <x:c r="I292" t="str">
        <x:v>0.0</x:v>
      </x:c>
      <x:c r="J292" t="n">
        <x:v>558</x:v>
      </x:c>
      <x:c r="K292" t="n">
        <x:v>1</x:v>
      </x:c>
    </x:row>
    <x:row r="293">
      <x:c r="A293" t="str">
        <x:v>P0068</x:v>
      </x:c>
      <x:c r="B293" t="str">
        <x:v>Personal Care</x:v>
      </x:c>
      <x:c r="C293" t="str">
        <x:v>SUP052</x:v>
      </x:c>
      <x:c r="D293" t="n">
        <x:v>440231.76</x:v>
      </x:c>
      <x:c r="E293" t="n">
        <x:v>651</x:v>
      </x:c>
      <x:c r="F293" t="n">
        <x:v>50</x:v>
      </x:c>
      <x:c r="G293" t="n">
        <x:v>5622</x:v>
      </x:c>
      <x:c r="H293" t="n">
        <x:v>86348.66</x:v>
      </x:c>
      <x:c r="I293" t="str">
        <x:v>0.0</x:v>
      </x:c>
      <x:c r="J293" t="n">
        <x:v>416</x:v>
      </x:c>
      <x:c r="K293" t="n">
        <x:v>1</x:v>
      </x:c>
    </x:row>
    <x:row r="294">
      <x:c r="A294" t="str">
        <x:v>P0076</x:v>
      </x:c>
      <x:c r="B294" t="str">
        <x:v>Personal Care</x:v>
      </x:c>
      <x:c r="C294" t="str">
        <x:v>SUP059</x:v>
      </x:c>
      <x:c r="D294" t="n">
        <x:v>216386.82</x:v>
      </x:c>
      <x:c r="E294" t="n">
        <x:v>338</x:v>
      </x:c>
      <x:c r="F294" t="n">
        <x:v>30</x:v>
      </x:c>
      <x:c r="G294" t="n">
        <x:v>5205</x:v>
      </x:c>
      <x:c r="H294" t="n">
        <x:v>162112.08</x:v>
      </x:c>
      <x:c r="I294" t="str">
        <x:v>0.0</x:v>
      </x:c>
      <x:c r="J294" t="n">
        <x:v>3592</x:v>
      </x:c>
      <x:c r="K294" t="n">
        <x:v>0</x:v>
      </x:c>
    </x:row>
    <x:row r="295">
      <x:c r="A295" t="str">
        <x:v>P0216</x:v>
      </x:c>
      <x:c r="B295" t="str">
        <x:v>Cleaning</x:v>
      </x:c>
      <x:c r="C295" t="str">
        <x:v>SUP020</x:v>
      </x:c>
      <x:c r="D295" t="n">
        <x:v>499745.7</x:v>
      </x:c>
      <x:c r="E295" t="n">
        <x:v>154</x:v>
      </x:c>
      <x:c r="F295" t="n">
        <x:v>14</x:v>
      </x:c>
      <x:c r="G295" t="n">
        <x:v>3244</x:v>
      </x:c>
      <x:c r="H295" t="n">
        <x:v>36727.32</x:v>
      </x:c>
      <x:c r="I295" t="str">
        <x:v>0.0</x:v>
      </x:c>
      <x:c r="J295" t="n">
        <x:v>0</x:v>
      </x:c>
      <x:c r="K295" t="n">
        <x:v>2</x:v>
      </x:c>
    </x:row>
    <x:row r="296">
      <x:c r="A296" t="str">
        <x:v>P0210</x:v>
      </x:c>
      <x:c r="B296" t="str">
        <x:v>Dry Grocery</x:v>
      </x:c>
      <x:c r="C296" t="str">
        <x:v>SUP002</x:v>
      </x:c>
      <x:c r="D296" t="n">
        <x:v>117457.35</x:v>
      </x:c>
      <x:c r="E296" t="n">
        <x:v>245</x:v>
      </x:c>
      <x:c r="F296" t="n">
        <x:v>19</x:v>
      </x:c>
      <x:c r="G296" t="n">
        <x:v>3284</x:v>
      </x:c>
      <x:c r="H296" t="n">
        <x:v>31860.85</x:v>
      </x:c>
      <x:c r="I296" t="str">
        <x:v>0.0</x:v>
      </x:c>
      <x:c r="J296" t="n">
        <x:v>447</x:v>
      </x:c>
      <x:c r="K296" t="n">
        <x:v>0</x:v>
      </x:c>
    </x:row>
    <x:row r="297">
      <x:c r="A297" t="str">
        <x:v>P0132</x:v>
      </x:c>
      <x:c r="B297" t="str">
        <x:v>Personal Care</x:v>
      </x:c>
      <x:c r="C297" t="str">
        <x:v>SUP040</x:v>
      </x:c>
      <x:c r="D297" t="n">
        <x:v>789135.36</x:v>
      </x:c>
      <x:c r="E297" t="n">
        <x:v>245</x:v>
      </x:c>
      <x:c r="F297" t="n">
        <x:v>20</x:v>
      </x:c>
      <x:c r="G297" t="n">
        <x:v>4341</x:v>
      </x:c>
      <x:c r="H297" t="n">
        <x:v>358154</x:v>
      </x:c>
      <x:c r="I297" t="str">
        <x:v>0.0</x:v>
      </x:c>
      <x:c r="J297" t="n">
        <x:v>636</x:v>
      </x:c>
      <x:c r="K297" t="n">
        <x:v>0</x:v>
      </x:c>
    </x:row>
    <x:row r="298">
      <x:c r="A298" t="str">
        <x:v>P0258</x:v>
      </x:c>
      <x:c r="B298" t="str">
        <x:v>Dry Grocery</x:v>
      </x:c>
      <x:c r="C298" t="str">
        <x:v>SUP059</x:v>
      </x:c>
      <x:c r="D298" t="n">
        <x:v>159524.76</x:v>
      </x:c>
      <x:c r="E298" t="n">
        <x:v>95</x:v>
      </x:c>
      <x:c r="F298" t="n">
        <x:v>3</x:v>
      </x:c>
      <x:c r="G298" t="n">
        <x:v>3572</x:v>
      </x:c>
      <x:c r="H298" t="n">
        <x:v>111651.6</x:v>
      </x:c>
      <x:c r="I298" t="str">
        <x:v>0.0</x:v>
      </x:c>
      <x:c r="J298" t="n">
        <x:v>1363</x:v>
      </x:c>
      <x:c r="K298" t="n">
        <x:v>0</x:v>
      </x:c>
    </x:row>
    <x:row r="299">
      <x:c r="A299" t="str">
        <x:v>P0311</x:v>
      </x:c>
      <x:c r="B299" t="str">
        <x:v>Electrical</x:v>
      </x:c>
      <x:c r="C299" t="str">
        <x:v>SUP022</x:v>
      </x:c>
      <x:c r="D299" t="n">
        <x:v>132610.5</x:v>
      </x:c>
      <x:c r="E299" t="n">
        <x:v>588</x:v>
      </x:c>
      <x:c r="F299" t="n">
        <x:v>33</x:v>
      </x:c>
      <x:c r="G299" t="n">
        <x:v>3153</x:v>
      </x:c>
      <x:c r="H299" t="n">
        <x:v>11752</x:v>
      </x:c>
      <x:c r="I299" t="str">
        <x:v>0.0</x:v>
      </x:c>
      <x:c r="J299" t="n">
        <x:v>0</x:v>
      </x:c>
      <x:c r="K299" t="n">
        <x:v>2</x:v>
      </x:c>
    </x:row>
    <x:row r="300">
      <x:c r="A300" t="str">
        <x:v>P0281</x:v>
      </x:c>
      <x:c r="B300" t="str">
        <x:v>Beverages</x:v>
      </x:c>
      <x:c r="C300" t="str">
        <x:v>SUP038</x:v>
      </x:c>
      <x:c r="D300" t="n">
        <x:v>209651.04</x:v>
      </x:c>
      <x:c r="E300" t="n">
        <x:v>75</x:v>
      </x:c>
      <x:c r="F300" t="n">
        <x:v>5</x:v>
      </x:c>
      <x:c r="G300" t="n">
        <x:v>2487</x:v>
      </x:c>
      <x:c r="H300" t="n">
        <x:v>128833.35</x:v>
      </x:c>
      <x:c r="I300" t="str">
        <x:v>0.0</x:v>
      </x:c>
      <x:c r="J300" t="n">
        <x:v>274</x:v>
      </x:c>
      <x:c r="K300" t="n">
        <x:v>0</x:v>
      </x:c>
    </x:row>
    <x:row r="301">
      <x:c r="A301" t="str">
        <x:v>P0476</x:v>
      </x:c>
      <x:c r="B301" t="str">
        <x:v>Personal Care</x:v>
      </x:c>
      <x:c r="C301" t="str">
        <x:v>SUP064</x:v>
      </x:c>
      <x:c r="D301" t="n">
        <x:v>185821.35</x:v>
      </x:c>
      <x:c r="E301" t="n">
        <x:v>357</x:v>
      </x:c>
      <x:c r="F301" t="n">
        <x:v>20</x:v>
      </x:c>
      <x:c r="G301" t="n">
        <x:v>2502</x:v>
      </x:c>
      <x:c r="H301" t="n">
        <x:v>38051.88</x:v>
      </x:c>
      <x:c r="I301" t="str">
        <x:v>0.0</x:v>
      </x:c>
      <x:c r="J301" t="n">
        <x:v>0</x:v>
      </x:c>
      <x:c r="K301" t="n">
        <x:v>0</x:v>
      </x:c>
    </x:row>
    <x:row r="302">
      <x:c r="A302" t="str">
        <x:v>P0098</x:v>
      </x:c>
      <x:c r="B302" t="str">
        <x:v>Dry Grocery</x:v>
      </x:c>
      <x:c r="C302" t="str">
        <x:v>SUP019</x:v>
      </x:c>
      <x:c r="D302" t="n">
        <x:v>78202.38</x:v>
      </x:c>
      <x:c r="E302" t="n">
        <x:v>763</x:v>
      </x:c>
      <x:c r="F302" t="n">
        <x:v>53</x:v>
      </x:c>
      <x:c r="G302" t="n">
        <x:v>5149</x:v>
      </x:c>
      <x:c r="H302" t="n">
        <x:v>22815</x:v>
      </x:c>
      <x:c r="I302" t="str">
        <x:v>0.0</x:v>
      </x:c>
      <x:c r="J302" t="n">
        <x:v>63</x:v>
      </x:c>
      <x:c r="K302" t="n">
        <x:v>0</x:v>
      </x:c>
    </x:row>
    <x:row r="303">
      <x:c r="A303" t="str">
        <x:v>P0349</x:v>
      </x:c>
      <x:c r="B303" t="str">
        <x:v>Packaging</x:v>
      </x:c>
      <x:c r="C303" t="str">
        <x:v>SUP006</x:v>
      </x:c>
      <x:c r="D303" t="n">
        <x:v>51740.9</x:v>
      </x:c>
      <x:c r="E303" t="n">
        <x:v>285</x:v>
      </x:c>
      <x:c r="F303" t="n">
        <x:v>21</x:v>
      </x:c>
      <x:c r="G303" t="n">
        <x:v>2743</x:v>
      </x:c>
      <x:c r="H303" t="n">
        <x:v>44395.82</x:v>
      </x:c>
      <x:c r="I303" t="str">
        <x:v>0.0</x:v>
      </x:c>
      <x:c r="J303" t="n">
        <x:v>443</x:v>
      </x:c>
      <x:c r="K303" t="n">
        <x:v>0</x:v>
      </x:c>
    </x:row>
    <x:row r="304">
      <x:c r="A304" t="str">
        <x:v>P0277</x:v>
      </x:c>
      <x:c r="B304" t="str">
        <x:v>Packaging</x:v>
      </x:c>
      <x:c r="C304" t="str">
        <x:v>SUP023</x:v>
      </x:c>
      <x:c r="D304" t="n">
        <x:v>397244.1</x:v>
      </x:c>
      <x:c r="E304" t="n">
        <x:v>142</x:v>
      </x:c>
      <x:c r="F304" t="n">
        <x:v>9</x:v>
      </x:c>
      <x:c r="G304" t="n">
        <x:v>2947</x:v>
      </x:c>
      <x:c r="H304" t="n">
        <x:v>152123.9</x:v>
      </x:c>
      <x:c r="I304" t="str">
        <x:v>0.0</x:v>
      </x:c>
      <x:c r="J304" t="n">
        <x:v>154</x:v>
      </x:c>
      <x:c r="K304" t="n">
        <x:v>1</x:v>
      </x:c>
    </x:row>
    <x:row r="305">
      <x:c r="A305" t="str">
        <x:v>P0461</x:v>
      </x:c>
      <x:c r="B305" t="str">
        <x:v>Packaging</x:v>
      </x:c>
      <x:c r="C305" t="str">
        <x:v>SUP062</x:v>
      </x:c>
      <x:c r="D305" t="n">
        <x:v>499914.47</x:v>
      </x:c>
      <x:c r="E305" t="n">
        <x:v>138</x:v>
      </x:c>
      <x:c r="F305" t="n">
        <x:v>8</x:v>
      </x:c>
      <x:c r="G305" t="n">
        <x:v>2477</x:v>
      </x:c>
      <x:c r="H305" t="n">
        <x:v>828942.99</x:v>
      </x:c>
      <x:c r="I305" t="str">
        <x:v>0.0</x:v>
      </x:c>
      <x:c r="J305" t="n">
        <x:v>2847</x:v>
      </x:c>
      <x:c r="K305" t="n">
        <x:v>0</x:v>
      </x:c>
    </x:row>
    <x:row r="306">
      <x:c r="A306" t="str">
        <x:v>P0478</x:v>
      </x:c>
      <x:c r="B306" t="str">
        <x:v>Hardware</x:v>
      </x:c>
      <x:c r="C306" t="str">
        <x:v>SUP025</x:v>
      </x:c>
      <x:c r="D306" t="n">
        <x:v>289323.6</x:v>
      </x:c>
      <x:c r="E306" t="n">
        <x:v>121</x:v>
      </x:c>
      <x:c r="F306" t="n">
        <x:v>10</x:v>
      </x:c>
      <x:c r="G306" t="n">
        <x:v>2426</x:v>
      </x:c>
      <x:c r="H306" t="n">
        <x:v>242672.35</x:v>
      </x:c>
      <x:c r="I306" t="str">
        <x:v>0.0</x:v>
      </x:c>
      <x:c r="J306" t="n">
        <x:v>1207</x:v>
      </x:c>
      <x:c r="K306" t="n">
        <x:v>0</x:v>
      </x:c>
    </x:row>
    <x:row r="307">
      <x:c r="A307" t="str">
        <x:v>P0107</x:v>
      </x:c>
      <x:c r="B307" t="str">
        <x:v>Household</x:v>
      </x:c>
      <x:c r="C307" t="str">
        <x:v>SUP046</x:v>
      </x:c>
      <x:c r="D307" t="n">
        <x:v>605380.49</x:v>
      </x:c>
      <x:c r="E307" t="n">
        <x:v>822</x:v>
      </x:c>
      <x:c r="F307" t="n">
        <x:v>59</x:v>
      </x:c>
      <x:c r="G307" t="n">
        <x:v>5749</x:v>
      </x:c>
      <x:c r="H307" t="n">
        <x:v>93013.08</x:v>
      </x:c>
      <x:c r="I307" t="str">
        <x:v>0.0</x:v>
      </x:c>
      <x:c r="J307" t="n">
        <x:v>523</x:v>
      </x:c>
      <x:c r="K307" t="n">
        <x:v>2</x:v>
      </x:c>
    </x:row>
    <x:row r="308">
      <x:c r="A308" t="str">
        <x:v>P0126</x:v>
      </x:c>
      <x:c r="B308" t="str">
        <x:v>Hardware</x:v>
      </x:c>
      <x:c r="C308" t="str">
        <x:v>SUP021</x:v>
      </x:c>
      <x:c r="D308" t="n">
        <x:v>269361.6</x:v>
      </x:c>
      <x:c r="E308" t="n">
        <x:v>198</x:v>
      </x:c>
      <x:c r="F308" t="n">
        <x:v>16</x:v>
      </x:c>
      <x:c r="G308" t="n">
        <x:v>4278</x:v>
      </x:c>
      <x:c r="H308" t="n">
        <x:v>210427.56</x:v>
      </x:c>
      <x:c r="I308" t="str">
        <x:v>0.0</x:v>
      </x:c>
      <x:c r="J308" t="n">
        <x:v>1177</x:v>
      </x:c>
      <x:c r="K308" t="n">
        <x:v>0</x:v>
      </x:c>
    </x:row>
    <x:row r="309">
      <x:c r="A309" t="str">
        <x:v>P0129</x:v>
      </x:c>
      <x:c r="B309" t="str">
        <x:v>Beverages</x:v>
      </x:c>
      <x:c r="C309" t="str">
        <x:v>SUP058</x:v>
      </x:c>
      <x:c r="D309" t="n">
        <x:v>485479.4</x:v>
      </x:c>
      <x:c r="E309" t="n">
        <x:v>1461</x:v>
      </x:c>
      <x:c r="F309" t="n">
        <x:v>99</x:v>
      </x:c>
      <x:c r="G309" t="n">
        <x:v>4681</x:v>
      </x:c>
      <x:c r="H309" t="n">
        <x:v>131176.92</x:v>
      </x:c>
      <x:c r="I309" t="str">
        <x:v>0.0</x:v>
      </x:c>
      <x:c r="J309" t="n">
        <x:v>755</x:v>
      </x:c>
      <x:c r="K309" t="n">
        <x:v>2</x:v>
      </x:c>
    </x:row>
    <x:row r="310">
      <x:c r="A310" t="str">
        <x:v>P0433</x:v>
      </x:c>
      <x:c r="B310" t="str">
        <x:v>Beverages</x:v>
      </x:c>
      <x:c r="C310" t="str">
        <x:v>SUP005</x:v>
      </x:c>
      <x:c r="D310" t="n">
        <x:v>128986</x:v>
      </x:c>
      <x:c r="E310" t="n">
        <x:v>36</x:v>
      </x:c>
      <x:c r="F310" t="n">
        <x:v>4</x:v>
      </x:c>
      <x:c r="G310" t="n">
        <x:v>2456</x:v>
      </x:c>
      <x:c r="H310" t="n">
        <x:v>87519.6</x:v>
      </x:c>
      <x:c r="I310" t="n">
        <x:v>17685.12</x:v>
      </x:c>
      <x:c r="J310" t="n">
        <x:v>1028</x:v>
      </x:c>
      <x:c r="K310" t="n">
        <x:v>0</x:v>
      </x:c>
    </x:row>
    <x:row r="311">
      <x:c r="A311" t="str">
        <x:v>P0395</x:v>
      </x:c>
      <x:c r="B311" t="str">
        <x:v>Household</x:v>
      </x:c>
      <x:c r="C311" t="str">
        <x:v>SUP023</x:v>
      </x:c>
      <x:c r="D311" t="n">
        <x:v>147037.22</x:v>
      </x:c>
      <x:c r="E311" t="n">
        <x:v>489</x:v>
      </x:c>
      <x:c r="F311" t="n">
        <x:v>39</x:v>
      </x:c>
      <x:c r="G311" t="n">
        <x:v>2555</x:v>
      </x:c>
      <x:c r="H311" t="n">
        <x:v>68649.06</x:v>
      </x:c>
      <x:c r="I311" t="str">
        <x:v>0.0</x:v>
      </x:c>
      <x:c r="J311" t="n">
        <x:v>209</x:v>
      </x:c>
      <x:c r="K311" t="n">
        <x:v>1</x:v>
      </x:c>
    </x:row>
    <x:row r="312">
      <x:c r="A312" t="str">
        <x:v>P0319</x:v>
      </x:c>
      <x:c r="B312" t="str">
        <x:v>Electrical</x:v>
      </x:c>
      <x:c r="C312" t="str">
        <x:v>SUP033</x:v>
      </x:c>
      <x:c r="D312" t="n">
        <x:v>328872.02</x:v>
      </x:c>
      <x:c r="E312" t="n">
        <x:v>88</x:v>
      </x:c>
      <x:c r="F312" t="n">
        <x:v>4</x:v>
      </x:c>
      <x:c r="G312" t="n">
        <x:v>2994</x:v>
      </x:c>
      <x:c r="H312" t="n">
        <x:v>148257.1</x:v>
      </x:c>
      <x:c r="I312" t="str">
        <x:v>0.0</x:v>
      </x:c>
      <x:c r="J312" t="n">
        <x:v>333</x:v>
      </x:c>
      <x:c r="K312" t="n">
        <x:v>0</x:v>
      </x:c>
    </x:row>
    <x:row r="313">
      <x:c r="A313" t="str">
        <x:v>P0312</x:v>
      </x:c>
      <x:c r="B313" t="str">
        <x:v>Cleaning</x:v>
      </x:c>
      <x:c r="C313" t="str">
        <x:v>SUP061</x:v>
      </x:c>
      <x:c r="D313" t="n">
        <x:v>399040</x:v>
      </x:c>
      <x:c r="E313" t="n">
        <x:v>310</x:v>
      </x:c>
      <x:c r="F313" t="n">
        <x:v>21</x:v>
      </x:c>
      <x:c r="G313" t="n">
        <x:v>3210</x:v>
      </x:c>
      <x:c r="H313" t="n">
        <x:v>286807.08</x:v>
      </x:c>
      <x:c r="I313" t="str">
        <x:v>0.0</x:v>
      </x:c>
      <x:c r="J313" t="n">
        <x:v>1156</x:v>
      </x:c>
      <x:c r="K313" t="n">
        <x:v>0</x:v>
      </x:c>
    </x:row>
    <x:row r="314">
      <x:c r="A314" t="str">
        <x:v>P0447</x:v>
      </x:c>
      <x:c r="B314" t="str">
        <x:v>Electrical</x:v>
      </x:c>
      <x:c r="C314" t="str">
        <x:v>SUP021</x:v>
      </x:c>
      <x:c r="D314" t="n">
        <x:v>74076.4</x:v>
      </x:c>
      <x:c r="E314" t="n">
        <x:v>374</x:v>
      </x:c>
      <x:c r="F314" t="n">
        <x:v>32</x:v>
      </x:c>
      <x:c r="G314" t="n">
        <x:v>2554</x:v>
      </x:c>
      <x:c r="H314" t="n">
        <x:v>64179.4</x:v>
      </x:c>
      <x:c r="I314" t="str">
        <x:v>0.0</x:v>
      </x:c>
      <x:c r="J314" t="n">
        <x:v>572</x:v>
      </x:c>
      <x:c r="K314" t="n">
        <x:v>0</x:v>
      </x:c>
    </x:row>
    <x:row r="315">
      <x:c r="A315" t="str">
        <x:v>P0405</x:v>
      </x:c>
      <x:c r="B315" t="str">
        <x:v>Packaging</x:v>
      </x:c>
      <x:c r="C315" t="str">
        <x:v>SUP020</x:v>
      </x:c>
      <x:c r="D315" t="n">
        <x:v>299968.41</x:v>
      </x:c>
      <x:c r="E315" t="n">
        <x:v>384</x:v>
      </x:c>
      <x:c r="F315" t="n">
        <x:v>24</x:v>
      </x:c>
      <x:c r="G315" t="n">
        <x:v>2545</x:v>
      </x:c>
      <x:c r="H315" t="n">
        <x:v>107763.82</x:v>
      </x:c>
      <x:c r="I315" t="str">
        <x:v>0.0</x:v>
      </x:c>
      <x:c r="J315" t="n">
        <x:v>0</x:v>
      </x:c>
      <x:c r="K315" t="n">
        <x:v>0</x:v>
      </x:c>
    </x:row>
    <x:row r="316">
      <x:c r="A316" t="str">
        <x:v>P0371</x:v>
      </x:c>
      <x:c r="B316" t="str">
        <x:v>Household</x:v>
      </x:c>
      <x:c r="C316" t="str">
        <x:v>SUP064</x:v>
      </x:c>
      <x:c r="D316" t="n">
        <x:v>231119.62</x:v>
      </x:c>
      <x:c r="E316" t="n">
        <x:v>443</x:v>
      </x:c>
      <x:c r="F316" t="n">
        <x:v>27</x:v>
      </x:c>
      <x:c r="G316" t="n">
        <x:v>3009</x:v>
      </x:c>
      <x:c r="H316" t="n">
        <x:v>76991.82</x:v>
      </x:c>
      <x:c r="I316" t="str">
        <x:v>0.0</x:v>
      </x:c>
      <x:c r="J316" t="n">
        <x:v>0</x:v>
      </x:c>
      <x:c r="K316" t="n">
        <x:v>0</x:v>
      </x:c>
    </x:row>
    <x:row r="317">
      <x:c r="A317" t="str">
        <x:v>P0194</x:v>
      </x:c>
      <x:c r="B317" t="str">
        <x:v>Dry Grocery</x:v>
      </x:c>
      <x:c r="C317" t="str">
        <x:v>SUP008</x:v>
      </x:c>
      <x:c r="D317" t="n">
        <x:v>406866.8</x:v>
      </x:c>
      <x:c r="E317" t="n">
        <x:v>511</x:v>
      </x:c>
      <x:c r="F317" t="n">
        <x:v>38</x:v>
      </x:c>
      <x:c r="G317" t="n">
        <x:v>3483</x:v>
      </x:c>
      <x:c r="H317" t="n">
        <x:v>188381.1</x:v>
      </x:c>
      <x:c r="I317" t="str">
        <x:v>0.0</x:v>
      </x:c>
      <x:c r="J317" t="n">
        <x:v>412</x:v>
      </x:c>
      <x:c r="K317" t="n">
        <x:v>0</x:v>
      </x:c>
    </x:row>
    <x:row r="318">
      <x:c r="A318" t="str">
        <x:v>P0456</x:v>
      </x:c>
      <x:c r="B318" t="str">
        <x:v>Cleaning</x:v>
      </x:c>
      <x:c r="C318" t="str">
        <x:v>SUP038</x:v>
      </x:c>
      <x:c r="D318" t="n">
        <x:v>284662.88</x:v>
      </x:c>
      <x:c r="E318" t="n">
        <x:v>828</x:v>
      </x:c>
      <x:c r="F318" t="n">
        <x:v>55</x:v>
      </x:c>
      <x:c r="G318" t="n">
        <x:v>2860</x:v>
      </x:c>
      <x:c r="H318" t="n">
        <x:v>169172.85</x:v>
      </x:c>
      <x:c r="I318" t="str">
        <x:v>0.0</x:v>
      </x:c>
      <x:c r="J318" t="n">
        <x:v>405</x:v>
      </x:c>
      <x:c r="K318" t="n">
        <x:v>1</x:v>
      </x:c>
    </x:row>
    <x:row r="319">
      <x:c r="A319" t="str">
        <x:v>P0468</x:v>
      </x:c>
      <x:c r="B319" t="str">
        <x:v>Personal Care</x:v>
      </x:c>
      <x:c r="C319" t="str">
        <x:v>SUP046</x:v>
      </x:c>
      <x:c r="D319" t="n">
        <x:v>37157.16</x:v>
      </x:c>
      <x:c r="E319" t="n">
        <x:v>38</x:v>
      </x:c>
      <x:c r="F319" t="n">
        <x:v>4</x:v>
      </x:c>
      <x:c r="G319" t="n">
        <x:v>2489</x:v>
      </x:c>
      <x:c r="H319" t="n">
        <x:v>18945.51</x:v>
      </x:c>
      <x:c r="I319" t="str">
        <x:v>0.0</x:v>
      </x:c>
      <x:c r="J319" t="n">
        <x:v>312</x:v>
      </x:c>
      <x:c r="K319" t="n">
        <x:v>0</x:v>
      </x:c>
    </x:row>
    <x:row r="320">
      <x:c r="A320" t="str">
        <x:v>P0255</x:v>
      </x:c>
      <x:c r="B320" t="str">
        <x:v>Electrical</x:v>
      </x:c>
      <x:c r="C320" t="str">
        <x:v>SUP024</x:v>
      </x:c>
      <x:c r="D320" t="n">
        <x:v>378969.4</x:v>
      </x:c>
      <x:c r="E320" t="n">
        <x:v>189</x:v>
      </x:c>
      <x:c r="F320" t="n">
        <x:v>16</x:v>
      </x:c>
      <x:c r="G320" t="n">
        <x:v>2929</x:v>
      </x:c>
      <x:c r="H320" t="n">
        <x:v>148067.78</x:v>
      </x:c>
      <x:c r="I320" t="str">
        <x:v>0.0</x:v>
      </x:c>
      <x:c r="J320" t="n">
        <x:v>575</x:v>
      </x:c>
      <x:c r="K320" t="n">
        <x:v>0</x:v>
      </x:c>
    </x:row>
    <x:row r="321">
      <x:c r="A321" t="str">
        <x:v>P0356</x:v>
      </x:c>
      <x:c r="B321" t="str">
        <x:v>Personal Care</x:v>
      </x:c>
      <x:c r="C321" t="str">
        <x:v>SUP026</x:v>
      </x:c>
      <x:c r="D321" t="n">
        <x:v>47267.26</x:v>
      </x:c>
      <x:c r="E321" t="n">
        <x:v>538</x:v>
      </x:c>
      <x:c r="F321" t="n">
        <x:v>45</x:v>
      </x:c>
      <x:c r="G321" t="n">
        <x:v>2957</x:v>
      </x:c>
      <x:c r="H321" t="n">
        <x:v>8281.62</x:v>
      </x:c>
      <x:c r="I321" t="n">
        <x:v>4416.03</x:v>
      </x:c>
      <x:c r="J321" t="n">
        <x:v>123</x:v>
      </x:c>
      <x:c r="K321" t="n">
        <x:v>1</x:v>
      </x:c>
    </x:row>
    <x:row r="322">
      <x:c r="A322" t="str">
        <x:v>P0271</x:v>
      </x:c>
      <x:c r="B322" t="str">
        <x:v>Electrical</x:v>
      </x:c>
      <x:c r="C322" t="str">
        <x:v>SUP062</x:v>
      </x:c>
      <x:c r="D322" t="n">
        <x:v>278643.24</x:v>
      </x:c>
      <x:c r="E322" t="n">
        <x:v>183</x:v>
      </x:c>
      <x:c r="F322" t="n">
        <x:v>7</x:v>
      </x:c>
      <x:c r="G322" t="n">
        <x:v>3339</x:v>
      </x:c>
      <x:c r="H322" t="n">
        <x:v>457156.56</x:v>
      </x:c>
      <x:c r="I322" t="str">
        <x:v>0.0</x:v>
      </x:c>
      <x:c r="J322" t="n">
        <x:v>3894</x:v>
      </x:c>
      <x:c r="K322" t="n">
        <x:v>0</x:v>
      </x:c>
    </x:row>
    <x:row r="323">
      <x:c r="A323" t="str">
        <x:v>P0017</x:v>
      </x:c>
      <x:c r="B323" t="str">
        <x:v>Beverages</x:v>
      </x:c>
      <x:c r="C323" t="str">
        <x:v>SUP026</x:v>
      </x:c>
      <x:c r="D323" t="n">
        <x:v>1444397.85</x:v>
      </x:c>
      <x:c r="E323" t="n">
        <x:v>5846</x:v>
      </x:c>
      <x:c r="F323" t="n">
        <x:v>235</x:v>
      </x:c>
      <x:c r="G323" t="n">
        <x:v>14477</x:v>
      </x:c>
      <x:c r="H323" t="n">
        <x:v>170730</x:v>
      </x:c>
      <x:c r="I323" t="str">
        <x:v>0.0</x:v>
      </x:c>
      <x:c r="J323" t="n">
        <x:v>225</x:v>
      </x:c>
      <x:c r="K323" t="n">
        <x:v>3</x:v>
      </x:c>
    </x:row>
    <x:row r="324">
      <x:c r="A324" t="str">
        <x:v>P0442</x:v>
      </x:c>
      <x:c r="B324" t="str">
        <x:v>Dry Grocery</x:v>
      </x:c>
      <x:c r="C324" t="str">
        <x:v>SUP031</x:v>
      </x:c>
      <x:c r="D324" t="n">
        <x:v>484977.9</x:v>
      </x:c>
      <x:c r="E324" t="n">
        <x:v>46</x:v>
      </x:c>
      <x:c r="F324" t="n">
        <x:v>4</x:v>
      </x:c>
      <x:c r="G324" t="n">
        <x:v>2661</x:v>
      </x:c>
      <x:c r="H324" t="n">
        <x:v>464053.8</x:v>
      </x:c>
      <x:c r="I324" t="str">
        <x:v>0.0</x:v>
      </x:c>
      <x:c r="J324" t="n">
        <x:v>1068</x:v>
      </x:c>
      <x:c r="K324" t="n">
        <x:v>0</x:v>
      </x:c>
    </x:row>
    <x:row r="325">
      <x:c r="A325" t="str">
        <x:v>P0288</x:v>
      </x:c>
      <x:c r="B325" t="str">
        <x:v>Cleaning</x:v>
      </x:c>
      <x:c r="C325" t="str">
        <x:v>SUP064</x:v>
      </x:c>
      <x:c r="D325" t="n">
        <x:v>467494.52</x:v>
      </x:c>
      <x:c r="E325" t="n">
        <x:v>212</x:v>
      </x:c>
      <x:c r="F325" t="n">
        <x:v>13</x:v>
      </x:c>
      <x:c r="G325" t="n">
        <x:v>2790</x:v>
      </x:c>
      <x:c r="H325" t="n">
        <x:v>357688.5</x:v>
      </x:c>
      <x:c r="I325" t="str">
        <x:v>0.0</x:v>
      </x:c>
      <x:c r="J325" t="n">
        <x:v>1083</x:v>
      </x:c>
      <x:c r="K325" t="n">
        <x:v>0</x:v>
      </x:c>
    </x:row>
    <x:row r="326">
      <x:c r="A326" t="str">
        <x:v>P0270</x:v>
      </x:c>
      <x:c r="B326" t="str">
        <x:v>Hardware</x:v>
      </x:c>
      <x:c r="C326" t="str">
        <x:v>SUP019</x:v>
      </x:c>
      <x:c r="D326" t="n">
        <x:v>360855</x:v>
      </x:c>
      <x:c r="E326" t="n">
        <x:v>516</x:v>
      </x:c>
      <x:c r="F326" t="n">
        <x:v>42</x:v>
      </x:c>
      <x:c r="G326" t="n">
        <x:v>3216</x:v>
      </x:c>
      <x:c r="H326" t="n">
        <x:v>154433</x:v>
      </x:c>
      <x:c r="I326" t="str">
        <x:v>0.0</x:v>
      </x:c>
      <x:c r="J326" t="n">
        <x:v>531</x:v>
      </x:c>
      <x:c r="K326" t="n">
        <x:v>1</x:v>
      </x:c>
    </x:row>
    <x:row r="327">
      <x:c r="A327" t="str">
        <x:v>P0269</x:v>
      </x:c>
      <x:c r="B327" t="str">
        <x:v>Packaging</x:v>
      </x:c>
      <x:c r="C327" t="str">
        <x:v>SUP032</x:v>
      </x:c>
      <x:c r="D327" t="n">
        <x:v>552833.6</x:v>
      </x:c>
      <x:c r="E327" t="n">
        <x:v>118</x:v>
      </x:c>
      <x:c r="F327" t="n">
        <x:v>7</x:v>
      </x:c>
      <x:c r="G327" t="n">
        <x:v>3350</x:v>
      </x:c>
      <x:c r="H327" t="n">
        <x:v>2030730</x:v>
      </x:c>
      <x:c r="I327" t="str">
        <x:v>0.0</x:v>
      </x:c>
      <x:c r="J327" t="n">
        <x:v>13531</x:v>
      </x:c>
      <x:c r="K327" t="n">
        <x:v>0</x:v>
      </x:c>
    </x:row>
    <x:row r="328">
      <x:c r="A328" t="str">
        <x:v>P0342</x:v>
      </x:c>
      <x:c r="B328" t="str">
        <x:v>Hardware</x:v>
      </x:c>
      <x:c r="C328" t="str">
        <x:v>SUP046</x:v>
      </x:c>
      <x:c r="D328" t="n">
        <x:v>56673.96</x:v>
      </x:c>
      <x:c r="E328" t="n">
        <x:v>200</x:v>
      </x:c>
      <x:c r="F328" t="n">
        <x:v>16</x:v>
      </x:c>
      <x:c r="G328" t="n">
        <x:v>3014</x:v>
      </x:c>
      <x:c r="H328" t="n">
        <x:v>35669.25</x:v>
      </x:c>
      <x:c r="I328" t="str">
        <x:v>0.0</x:v>
      </x:c>
      <x:c r="J328" t="n">
        <x:v>534</x:v>
      </x:c>
      <x:c r="K328" t="n">
        <x:v>0</x:v>
      </x:c>
    </x:row>
    <x:row r="329">
      <x:c r="A329" t="str">
        <x:v>P0234</x:v>
      </x:c>
      <x:c r="B329" t="str">
        <x:v>Dry Grocery</x:v>
      </x:c>
      <x:c r="C329" t="str">
        <x:v>SUP006</x:v>
      </x:c>
      <x:c r="D329" t="n">
        <x:v>375485.22</x:v>
      </x:c>
      <x:c r="E329" t="n">
        <x:v>256</x:v>
      </x:c>
      <x:c r="F329" t="n">
        <x:v>23</x:v>
      </x:c>
      <x:c r="G329" t="n">
        <x:v>3583</x:v>
      </x:c>
      <x:c r="H329" t="n">
        <x:v>206903.4</x:v>
      </x:c>
      <x:c r="I329" t="str">
        <x:v>0.0</x:v>
      </x:c>
      <x:c r="J329" t="n">
        <x:v>1082</x:v>
      </x:c>
      <x:c r="K329" t="n">
        <x:v>0</x:v>
      </x:c>
    </x:row>
    <x:row r="330">
      <x:c r="A330" t="str">
        <x:v>P0430</x:v>
      </x:c>
      <x:c r="B330" t="str">
        <x:v>Hardware</x:v>
      </x:c>
      <x:c r="C330" t="str">
        <x:v>SUP021</x:v>
      </x:c>
      <x:c r="D330" t="n">
        <x:v>180061.84</x:v>
      </x:c>
      <x:c r="E330" t="n">
        <x:v>164</x:v>
      </x:c>
      <x:c r="F330" t="n">
        <x:v>14</x:v>
      </x:c>
      <x:c r="G330" t="n">
        <x:v>2511</x:v>
      </x:c>
      <x:c r="H330" t="n">
        <x:v>108040.12</x:v>
      </x:c>
      <x:c r="I330" t="str">
        <x:v>0.0</x:v>
      </x:c>
      <x:c r="J330" t="n">
        <x:v>753</x:v>
      </x:c>
      <x:c r="K330" t="n">
        <x:v>0</x:v>
      </x:c>
    </x:row>
    <x:row r="331">
      <x:c r="A331" t="str">
        <x:v>P0086</x:v>
      </x:c>
      <x:c r="B331" t="str">
        <x:v>Hardware</x:v>
      </x:c>
      <x:c r="C331" t="str">
        <x:v>SUP001</x:v>
      </x:c>
      <x:c r="D331" t="n">
        <x:v>707902.14</x:v>
      </x:c>
      <x:c r="E331" t="n">
        <x:v>897</x:v>
      </x:c>
      <x:c r="F331" t="n">
        <x:v>56</x:v>
      </x:c>
      <x:c r="G331" t="n">
        <x:v>5924</x:v>
      </x:c>
      <x:c r="H331" t="n">
        <x:v>516293.74</x:v>
      </x:c>
      <x:c r="I331" t="str">
        <x:v>0.0</x:v>
      </x:c>
      <x:c r="J331" t="n">
        <x:v>2726</x:v>
      </x:c>
      <x:c r="K331" t="n">
        <x:v>0</x:v>
      </x:c>
    </x:row>
    <x:row r="332">
      <x:c r="A332" t="str">
        <x:v>P0347</x:v>
      </x:c>
      <x:c r="B332" t="str">
        <x:v>Household</x:v>
      </x:c>
      <x:c r="C332" t="str">
        <x:v>SUP003</x:v>
      </x:c>
      <x:c r="D332" t="n">
        <x:v>134472.5</x:v>
      </x:c>
      <x:c r="E332" t="n">
        <x:v>503</x:v>
      </x:c>
      <x:c r="F332" t="n">
        <x:v>43</x:v>
      </x:c>
      <x:c r="G332" t="n">
        <x:v>2878</x:v>
      </x:c>
      <x:c r="H332" t="n">
        <x:v>11466.88</x:v>
      </x:c>
      <x:c r="I332" t="str">
        <x:v>0.0</x:v>
      </x:c>
      <x:c r="J332" t="n">
        <x:v>0</x:v>
      </x:c>
      <x:c r="K332" t="n">
        <x:v>2</x:v>
      </x:c>
    </x:row>
    <x:row r="333">
      <x:c r="A333" t="str">
        <x:v>P0235</x:v>
      </x:c>
      <x:c r="B333" t="str">
        <x:v>Household</x:v>
      </x:c>
      <x:c r="C333" t="str">
        <x:v>SUP010</x:v>
      </x:c>
      <x:c r="D333" t="n">
        <x:v>424584.16</x:v>
      </x:c>
      <x:c r="E333" t="n">
        <x:v>96</x:v>
      </x:c>
      <x:c r="F333" t="n">
        <x:v>9</x:v>
      </x:c>
      <x:c r="G333" t="n">
        <x:v>3952</x:v>
      </x:c>
      <x:c r="H333" t="n">
        <x:v>541981.59</x:v>
      </x:c>
      <x:c r="I333" t="str">
        <x:v>0.0</x:v>
      </x:c>
      <x:c r="J333" t="n">
        <x:v>4757</x:v>
      </x:c>
      <x:c r="K333" t="n">
        <x:v>0</x:v>
      </x:c>
    </x:row>
    <x:row r="334">
      <x:c r="A334" t="str">
        <x:v>P0385</x:v>
      </x:c>
      <x:c r="B334" t="str">
        <x:v>Beverages</x:v>
      </x:c>
      <x:c r="C334" t="str">
        <x:v>SUP016</x:v>
      </x:c>
      <x:c r="D334" t="n">
        <x:v>294767.8</x:v>
      </x:c>
      <x:c r="E334" t="n">
        <x:v>54</x:v>
      </x:c>
      <x:c r="F334" t="n">
        <x:v>6</x:v>
      </x:c>
      <x:c r="G334" t="n">
        <x:v>2530</x:v>
      </x:c>
      <x:c r="H334" t="n">
        <x:v>475262.64</x:v>
      </x:c>
      <x:c r="I334" t="str">
        <x:v>0.0</x:v>
      </x:c>
      <x:c r="J334" t="n">
        <x:v>3592</x:v>
      </x:c>
      <x:c r="K334" t="n">
        <x:v>0</x:v>
      </x:c>
    </x:row>
    <x:row r="335">
      <x:c r="A335" t="str">
        <x:v>P0164</x:v>
      </x:c>
      <x:c r="B335" t="str">
        <x:v>Personal Care</x:v>
      </x:c>
      <x:c r="C335" t="str">
        <x:v>SUP016</x:v>
      </x:c>
      <x:c r="D335" t="n">
        <x:v>461130.24</x:v>
      </x:c>
      <x:c r="E335" t="n">
        <x:v>198</x:v>
      </x:c>
      <x:c r="F335" t="n">
        <x:v>13</x:v>
      </x:c>
      <x:c r="G335" t="n">
        <x:v>3912</x:v>
      </x:c>
      <x:c r="H335" t="n">
        <x:v>551269.5</x:v>
      </x:c>
      <x:c r="I335" t="str">
        <x:v>0.0</x:v>
      </x:c>
      <x:c r="J335" t="n">
        <x:v>5200</x:v>
      </x:c>
      <x:c r="K335" t="n">
        <x:v>0</x:v>
      </x:c>
    </x:row>
    <x:row r="336">
      <x:c r="A336" t="str">
        <x:v>P0154</x:v>
      </x:c>
      <x:c r="B336" t="str">
        <x:v>Dry Grocery</x:v>
      </x:c>
      <x:c r="C336" t="str">
        <x:v>SUP014</x:v>
      </x:c>
      <x:c r="D336" t="n">
        <x:v>219659.54</x:v>
      </x:c>
      <x:c r="E336" t="n">
        <x:v>508</x:v>
      </x:c>
      <x:c r="F336" t="n">
        <x:v>33</x:v>
      </x:c>
      <x:c r="G336" t="n">
        <x:v>4566</x:v>
      </x:c>
      <x:c r="H336" t="n">
        <x:v>45422.06</x:v>
      </x:c>
      <x:c r="I336" t="str">
        <x:v>0.0</x:v>
      </x:c>
      <x:c r="J336" t="n">
        <x:v>193</x:v>
      </x:c>
      <x:c r="K336" t="n">
        <x:v>0</x:v>
      </x:c>
    </x:row>
    <x:row r="337">
      <x:c r="A337" t="str">
        <x:v>P0031</x:v>
      </x:c>
      <x:c r="B337" t="str">
        <x:v>Electrical</x:v>
      </x:c>
      <x:c r="C337" t="str">
        <x:v>SUP004</x:v>
      </x:c>
      <x:c r="D337" t="n">
        <x:v>203378.65</x:v>
      </x:c>
      <x:c r="E337" t="n">
        <x:v>879</x:v>
      </x:c>
      <x:c r="F337" t="n">
        <x:v>67</x:v>
      </x:c>
      <x:c r="G337" t="n">
        <x:v>9464</x:v>
      </x:c>
      <x:c r="H337" t="n">
        <x:v>37168.92</x:v>
      </x:c>
      <x:c r="I337" t="str">
        <x:v>0.0</x:v>
      </x:c>
      <x:c r="J337" t="n">
        <x:v>592</x:v>
      </x:c>
      <x:c r="K337" t="n">
        <x:v>0</x:v>
      </x:c>
    </x:row>
    <x:row r="338">
      <x:c r="A338" t="str">
        <x:v>P0189</x:v>
      </x:c>
      <x:c r="B338" t="str">
        <x:v>Packaging</x:v>
      </x:c>
      <x:c r="C338" t="str">
        <x:v>SUP024</x:v>
      </x:c>
      <x:c r="D338" t="n">
        <x:v>553363.25</x:v>
      </x:c>
      <x:c r="E338" t="n">
        <x:v>1144</x:v>
      </x:c>
      <x:c r="F338" t="n">
        <x:v>75</x:v>
      </x:c>
      <x:c r="G338" t="n">
        <x:v>4169</x:v>
      </x:c>
      <x:c r="H338" t="n">
        <x:v>50655.6</x:v>
      </x:c>
      <x:c r="I338" t="str">
        <x:v>0.0</x:v>
      </x:c>
      <x:c r="J338" t="n">
        <x:v>0</x:v>
      </x:c>
      <x:c r="K338" t="n">
        <x:v>2</x:v>
      </x:c>
    </x:row>
    <x:row r="339">
      <x:c r="A339" t="str">
        <x:v>P0419</x:v>
      </x:c>
      <x:c r="B339" t="str">
        <x:v>Household</x:v>
      </x:c>
      <x:c r="C339" t="str">
        <x:v>SUP013</x:v>
      </x:c>
      <x:c r="D339" t="n">
        <x:v>148304</x:v>
      </x:c>
      <x:c r="E339" t="n">
        <x:v>322</x:v>
      </x:c>
      <x:c r="F339" t="n">
        <x:v>24</x:v>
      </x:c>
      <x:c r="G339" t="n">
        <x:v>2402</x:v>
      </x:c>
      <x:c r="H339" t="n">
        <x:v>46521.2</x:v>
      </x:c>
      <x:c r="I339" t="str">
        <x:v>0.0</x:v>
      </x:c>
      <x:c r="J339" t="n">
        <x:v>0</x:v>
      </x:c>
      <x:c r="K339" t="n">
        <x:v>0</x:v>
      </x:c>
    </x:row>
    <x:row r="340">
      <x:c r="A340" t="str">
        <x:v>P0192</x:v>
      </x:c>
      <x:c r="B340" t="str">
        <x:v>Cleaning</x:v>
      </x:c>
      <x:c r="C340" t="str">
        <x:v>SUP028</x:v>
      </x:c>
      <x:c r="D340" t="n">
        <x:v>23719.5</x:v>
      </x:c>
      <x:c r="E340" t="n">
        <x:v>222</x:v>
      </x:c>
      <x:c r="F340" t="n">
        <x:v>14</x:v>
      </x:c>
      <x:c r="G340" t="n">
        <x:v>3736</x:v>
      </x:c>
      <x:c r="H340" t="n">
        <x:v>22203.72</x:v>
      </x:c>
      <x:c r="I340" t="str">
        <x:v>0.0</x:v>
      </x:c>
      <x:c r="J340" t="n">
        <x:v>2830</x:v>
      </x:c>
      <x:c r="K340" t="n">
        <x:v>1</x:v>
      </x:c>
    </x:row>
    <x:row r="341">
      <x:c r="A341" t="str">
        <x:v>P0409</x:v>
      </x:c>
      <x:c r="B341" t="str">
        <x:v>Beverages</x:v>
      </x:c>
      <x:c r="C341" t="str">
        <x:v>SUP043</x:v>
      </x:c>
      <x:c r="D341" t="n">
        <x:v>52571.75</x:v>
      </x:c>
      <x:c r="E341" t="n">
        <x:v>83</x:v>
      </x:c>
      <x:c r="F341" t="n">
        <x:v>6</x:v>
      </x:c>
      <x:c r="G341" t="n">
        <x:v>2814</x:v>
      </x:c>
      <x:c r="H341" t="n">
        <x:v>71198.25</x:v>
      </x:c>
      <x:c r="I341" t="str">
        <x:v>0.0</x:v>
      </x:c>
      <x:c r="J341" t="n">
        <x:v>2487</x:v>
      </x:c>
      <x:c r="K341" t="n">
        <x:v>0</x:v>
      </x:c>
    </x:row>
    <x:row r="342">
      <x:c r="A342" t="str">
        <x:v>P0190</x:v>
      </x:c>
      <x:c r="B342" t="str">
        <x:v>Hardware</x:v>
      </x:c>
      <x:c r="C342" t="str">
        <x:v>SUP027</x:v>
      </x:c>
      <x:c r="D342" t="n">
        <x:v>377895.98</x:v>
      </x:c>
      <x:c r="E342" t="n">
        <x:v>63</x:v>
      </x:c>
      <x:c r="F342" t="n">
        <x:v>5</x:v>
      </x:c>
      <x:c r="G342" t="n">
        <x:v>3682</x:v>
      </x:c>
      <x:c r="H342" t="n">
        <x:v>957398.49</x:v>
      </x:c>
      <x:c r="I342" t="str">
        <x:v>0.0</x:v>
      </x:c>
      <x:c r="J342" t="n">
        <x:v>8833</x:v>
      </x:c>
      <x:c r="K342" t="n">
        <x:v>0</x:v>
      </x:c>
    </x:row>
    <x:row r="343">
      <x:c r="A343" t="str">
        <x:v>P0101</x:v>
      </x:c>
      <x:c r="B343" t="str">
        <x:v>Packaging</x:v>
      </x:c>
      <x:c r="C343" t="str">
        <x:v>SUP047</x:v>
      </x:c>
      <x:c r="D343" t="n">
        <x:v>149025.88</x:v>
      </x:c>
      <x:c r="E343" t="n">
        <x:v>78</x:v>
      </x:c>
      <x:c r="F343" t="n">
        <x:v>7</x:v>
      </x:c>
      <x:c r="G343" t="n">
        <x:v>4876</x:v>
      </x:c>
      <x:c r="H343" t="n">
        <x:v>244483.15</x:v>
      </x:c>
      <x:c r="I343" t="str">
        <x:v>0.0</x:v>
      </x:c>
      <x:c r="J343" t="n">
        <x:v>7511</x:v>
      </x:c>
      <x:c r="K343" t="n">
        <x:v>0</x:v>
      </x:c>
    </x:row>
    <x:row r="344">
      <x:c r="A344" t="str">
        <x:v>P0200</x:v>
      </x:c>
      <x:c r="B344" t="str">
        <x:v>Cleaning</x:v>
      </x:c>
      <x:c r="C344" t="str">
        <x:v>SUP023</x:v>
      </x:c>
      <x:c r="D344" t="n">
        <x:v>377122.41</x:v>
      </x:c>
      <x:c r="E344" t="n">
        <x:v>385</x:v>
      </x:c>
      <x:c r="F344" t="n">
        <x:v>28</x:v>
      </x:c>
      <x:c r="G344" t="n">
        <x:v>3222</x:v>
      </x:c>
      <x:c r="H344" t="n">
        <x:v>94175.73</x:v>
      </x:c>
      <x:c r="I344" t="str">
        <x:v>0.0</x:v>
      </x:c>
      <x:c r="J344" t="n">
        <x:v>0</x:v>
      </x:c>
      <x:c r="K344" t="n">
        <x:v>2</x:v>
      </x:c>
    </x:row>
    <x:row r="345">
      <x:c r="A345" t="str">
        <x:v>P0108</x:v>
      </x:c>
      <x:c r="B345" t="str">
        <x:v>Personal Care</x:v>
      </x:c>
      <x:c r="C345" t="str">
        <x:v>SUP001</x:v>
      </x:c>
      <x:c r="D345" t="n">
        <x:v>487072</x:v>
      </x:c>
      <x:c r="E345" t="n">
        <x:v>110</x:v>
      </x:c>
      <x:c r="F345" t="n">
        <x:v>9</x:v>
      </x:c>
      <x:c r="G345" t="n">
        <x:v>5020</x:v>
      </x:c>
      <x:c r="H345" t="n">
        <x:v>343454.54</x:v>
      </x:c>
      <x:c r="I345" t="str">
        <x:v>0.0</x:v>
      </x:c>
      <x:c r="J345" t="n">
        <x:v>876</x:v>
      </x:c>
      <x:c r="K345" t="n">
        <x:v>0</x:v>
      </x:c>
    </x:row>
    <x:row r="346">
      <x:c r="A346" t="str">
        <x:v>P0375</x:v>
      </x:c>
      <x:c r="B346" t="str">
        <x:v>Electrical</x:v>
      </x:c>
      <x:c r="C346" t="str">
        <x:v>SUP058</x:v>
      </x:c>
      <x:c r="D346" t="n">
        <x:v>350517.24</x:v>
      </x:c>
      <x:c r="E346" t="n">
        <x:v>416</x:v>
      </x:c>
      <x:c r="F346" t="n">
        <x:v>30</x:v>
      </x:c>
      <x:c r="G346" t="n">
        <x:v>2900</x:v>
      </x:c>
      <x:c r="H346" t="n">
        <x:v>64198.46</x:v>
      </x:c>
      <x:c r="I346" t="str">
        <x:v>0.0</x:v>
      </x:c>
      <x:c r="J346" t="n">
        <x:v>0</x:v>
      </x:c>
      <x:c r="K346" t="n">
        <x:v>2</x:v>
      </x:c>
    </x:row>
    <x:row r="347">
      <x:c r="A347" t="str">
        <x:v>P0140</x:v>
      </x:c>
      <x:c r="B347" t="str">
        <x:v>Personal Care</x:v>
      </x:c>
      <x:c r="C347" t="str">
        <x:v>SUP003</x:v>
      </x:c>
      <x:c r="D347" t="n">
        <x:v>277645.04</x:v>
      </x:c>
      <x:c r="E347" t="n">
        <x:v>520</x:v>
      </x:c>
      <x:c r="F347" t="n">
        <x:v>34</x:v>
      </x:c>
      <x:c r="G347" t="n">
        <x:v>4109</x:v>
      </x:c>
      <x:c r="H347" t="n">
        <x:v>44750.52</x:v>
      </x:c>
      <x:c r="I347" t="str">
        <x:v>0.0</x:v>
      </x:c>
      <x:c r="J347" t="n">
        <x:v>0</x:v>
      </x:c>
      <x:c r="K347" t="n">
        <x:v>1</x:v>
      </x:c>
    </x:row>
    <x:row r="348">
      <x:c r="A348" t="str">
        <x:v>P0323</x:v>
      </x:c>
      <x:c r="B348" t="str">
        <x:v>Household</x:v>
      </x:c>
      <x:c r="C348" t="str">
        <x:v>SUP037</x:v>
      </x:c>
      <x:c r="D348" t="n">
        <x:v>136918.35</x:v>
      </x:c>
      <x:c r="E348" t="n">
        <x:v>89</x:v>
      </x:c>
      <x:c r="F348" t="n">
        <x:v>10</x:v>
      </x:c>
      <x:c r="G348" t="n">
        <x:v>2954</x:v>
      </x:c>
      <x:c r="H348" t="n">
        <x:v>234328.53</x:v>
      </x:c>
      <x:c r="I348" t="str">
        <x:v>0.0</x:v>
      </x:c>
      <x:c r="J348" t="n">
        <x:v>4897</x:v>
      </x:c>
      <x:c r="K348" t="n">
        <x:v>0</x:v>
      </x:c>
    </x:row>
    <x:row r="349">
      <x:c r="A349" t="str">
        <x:v>P0038</x:v>
      </x:c>
      <x:c r="B349" t="str">
        <x:v>Hardware</x:v>
      </x:c>
      <x:c r="C349" t="str">
        <x:v>SUP051</x:v>
      </x:c>
      <x:c r="D349" t="n">
        <x:v>601731.07</x:v>
      </x:c>
      <x:c r="E349" t="n">
        <x:v>2439</x:v>
      </x:c>
      <x:c r="F349" t="n">
        <x:v>163</x:v>
      </x:c>
      <x:c r="G349" t="n">
        <x:v>8818</x:v>
      </x:c>
      <x:c r="H349" t="n">
        <x:v>84182.37</x:v>
      </x:c>
      <x:c r="I349" t="str">
        <x:v>0.0</x:v>
      </x:c>
      <x:c r="J349" t="n">
        <x:v>304</x:v>
      </x:c>
      <x:c r="K349" t="n">
        <x:v>1</x:v>
      </x:c>
    </x:row>
    <x:row r="350">
      <x:c r="A350" t="str">
        <x:v>P0175</x:v>
      </x:c>
      <x:c r="B350" t="str">
        <x:v>Electrical</x:v>
      </x:c>
      <x:c r="C350" t="str">
        <x:v>SUP059</x:v>
      </x:c>
      <x:c r="D350" t="n">
        <x:v>537533.23</x:v>
      </x:c>
      <x:c r="E350" t="n">
        <x:v>93</x:v>
      </x:c>
      <x:c r="F350" t="n">
        <x:v>5</x:v>
      </x:c>
      <x:c r="G350" t="n">
        <x:v>3980</x:v>
      </x:c>
      <x:c r="H350" t="n">
        <x:v>372079.58</x:v>
      </x:c>
      <x:c r="I350" t="str">
        <x:v>0.0</x:v>
      </x:c>
      <x:c r="J350" t="n">
        <x:v>1866</x:v>
      </x:c>
      <x:c r="K350" t="n">
        <x:v>0</x:v>
      </x:c>
    </x:row>
    <x:row r="351">
      <x:c r="A351" t="str">
        <x:v>P0146</x:v>
      </x:c>
      <x:c r="B351" t="str">
        <x:v>Dry Grocery</x:v>
      </x:c>
      <x:c r="C351" t="str">
        <x:v>SUP011</x:v>
      </x:c>
      <x:c r="D351" t="n">
        <x:v>231296.4</x:v>
      </x:c>
      <x:c r="E351" t="n">
        <x:v>35</x:v>
      </x:c>
      <x:c r="F351" t="n">
        <x:v>2</x:v>
      </x:c>
      <x:c r="G351" t="n">
        <x:v>4265</x:v>
      </x:c>
      <x:c r="H351" t="n">
        <x:v>296067.2</x:v>
      </x:c>
      <x:c r="I351" t="str">
        <x:v>0.0</x:v>
      </x:c>
      <x:c r="J351" t="n">
        <x:v>3822</x:v>
      </x:c>
      <x:c r="K351" t="n">
        <x:v>0</x:v>
      </x:c>
    </x:row>
    <x:row r="352">
      <x:c r="A352" t="str">
        <x:v>P0355</x:v>
      </x:c>
      <x:c r="B352" t="str">
        <x:v>Household</x:v>
      </x:c>
      <x:c r="C352" t="str">
        <x:v>SUP019</x:v>
      </x:c>
      <x:c r="D352" t="n">
        <x:v>178111.96</x:v>
      </x:c>
      <x:c r="E352" t="n">
        <x:v>64</x:v>
      </x:c>
      <x:c r="F352" t="n">
        <x:v>7</x:v>
      </x:c>
      <x:c r="G352" t="n">
        <x:v>3036</x:v>
      </x:c>
      <x:c r="H352" t="n">
        <x:v>79495.4</x:v>
      </x:c>
      <x:c r="I352" t="str">
        <x:v>0.0</x:v>
      </x:c>
      <x:c r="J352" t="n">
        <x:v>21</x:v>
      </x:c>
      <x:c r="K352" t="n">
        <x:v>0</x:v>
      </x:c>
    </x:row>
    <x:row r="353">
      <x:c r="A353" t="str">
        <x:v>P0424</x:v>
      </x:c>
      <x:c r="B353" t="str">
        <x:v>Cleaning</x:v>
      </x:c>
      <x:c r="C353" t="str">
        <x:v>SUP041</x:v>
      </x:c>
      <x:c r="D353" t="n">
        <x:v>63127.12</x:v>
      </x:c>
      <x:c r="E353" t="n">
        <x:v>547</x:v>
      </x:c>
      <x:c r="F353" t="n">
        <x:v>41</x:v>
      </x:c>
      <x:c r="G353" t="n">
        <x:v>2808</x:v>
      </x:c>
      <x:c r="H353" t="n">
        <x:v>47103.25</x:v>
      </x:c>
      <x:c r="I353" t="str">
        <x:v>0.0</x:v>
      </x:c>
      <x:c r="J353" t="n">
        <x:v>0</x:v>
      </x:c>
      <x:c r="K353" t="n">
        <x:v>0</x:v>
      </x:c>
    </x:row>
    <x:row r="354">
      <x:c r="A354" t="str">
        <x:v>P0116</x:v>
      </x:c>
      <x:c r="B354" t="str">
        <x:v>Personal Care</x:v>
      </x:c>
      <x:c r="C354" t="str">
        <x:v>SUP042</x:v>
      </x:c>
      <x:c r="D354" t="n">
        <x:v>521438.6</x:v>
      </x:c>
      <x:c r="E354" t="n">
        <x:v>624</x:v>
      </x:c>
      <x:c r="F354" t="n">
        <x:v>38</x:v>
      </x:c>
      <x:c r="G354" t="n">
        <x:v>4468</x:v>
      </x:c>
      <x:c r="H354" t="n">
        <x:v>159240.06</x:v>
      </x:c>
      <x:c r="I354" t="str">
        <x:v>0.0</x:v>
      </x:c>
      <x:c r="J354" t="n">
        <x:v>383</x:v>
      </x:c>
      <x:c r="K354" t="n">
        <x:v>0</x:v>
      </x:c>
    </x:row>
    <x:row r="355">
      <x:c r="A355" t="str">
        <x:v>P0420</x:v>
      </x:c>
      <x:c r="B355" t="str">
        <x:v>Personal Care</x:v>
      </x:c>
      <x:c r="C355" t="str">
        <x:v>SUP031</x:v>
      </x:c>
      <x:c r="D355" t="n">
        <x:v>328137.6</x:v>
      </x:c>
      <x:c r="E355" t="n">
        <x:v>33</x:v>
      </x:c>
      <x:c r="F355" t="n">
        <x:v>3</x:v>
      </x:c>
      <x:c r="G355" t="n">
        <x:v>2313</x:v>
      </x:c>
      <x:c r="H355" t="n">
        <x:v>603999.66</x:v>
      </x:c>
      <x:c r="I355" t="str">
        <x:v>0.0</x:v>
      </x:c>
      <x:c r="J355" t="n">
        <x:v>4456</x:v>
      </x:c>
      <x:c r="K355" t="n">
        <x:v>0</x:v>
      </x:c>
    </x:row>
    <x:row r="356">
      <x:c r="A356" t="str">
        <x:v>P0059</x:v>
      </x:c>
      <x:c r="B356" t="str">
        <x:v>Household</x:v>
      </x:c>
      <x:c r="C356" t="str">
        <x:v>SUP019</x:v>
      </x:c>
      <x:c r="D356" t="n">
        <x:v>1180806.3</x:v>
      </x:c>
      <x:c r="E356" t="n">
        <x:v>747</x:v>
      </x:c>
      <x:c r="F356" t="n">
        <x:v>50</x:v>
      </x:c>
      <x:c r="G356" t="n">
        <x:v>6993</x:v>
      </x:c>
      <x:c r="H356" t="n">
        <x:v>169902.15</x:v>
      </x:c>
      <x:c r="I356" t="str">
        <x:v>0.0</x:v>
      </x:c>
      <x:c r="J356" t="n">
        <x:v>116</x:v>
      </x:c>
      <x:c r="K356" t="n">
        <x:v>0</x:v>
      </x:c>
    </x:row>
    <x:row r="357">
      <x:c r="A357" t="str">
        <x:v>P0429</x:v>
      </x:c>
      <x:c r="B357" t="str">
        <x:v>Packaging</x:v>
      </x:c>
      <x:c r="C357" t="str">
        <x:v>SUP024</x:v>
      </x:c>
      <x:c r="D357" t="n">
        <x:v>114617.36</x:v>
      </x:c>
      <x:c r="E357" t="n">
        <x:v>461</x:v>
      </x:c>
      <x:c r="F357" t="n">
        <x:v>35</x:v>
      </x:c>
      <x:c r="G357" t="n">
        <x:v>2697</x:v>
      </x:c>
      <x:c r="H357" t="n">
        <x:v>27982</x:v>
      </x:c>
      <x:c r="I357" t="str">
        <x:v>0.0</x:v>
      </x:c>
      <x:c r="J357" t="n">
        <x:v>85</x:v>
      </x:c>
      <x:c r="K357" t="n">
        <x:v>1</x:v>
      </x:c>
    </x:row>
    <x:row r="358">
      <x:c r="A358" t="str">
        <x:v>P0471</x:v>
      </x:c>
      <x:c r="B358" t="str">
        <x:v>Electrical</x:v>
      </x:c>
      <x:c r="C358" t="str">
        <x:v>SUP021</x:v>
      </x:c>
      <x:c r="D358" t="n">
        <x:v>302618.84</x:v>
      </x:c>
      <x:c r="E358" t="n">
        <x:v>767</x:v>
      </x:c>
      <x:c r="F358" t="n">
        <x:v>57</x:v>
      </x:c>
      <x:c r="G358" t="n">
        <x:v>2611</x:v>
      </x:c>
      <x:c r="H358" t="n">
        <x:v>110993.82</x:v>
      </x:c>
      <x:c r="I358" t="str">
        <x:v>0.0</x:v>
      </x:c>
      <x:c r="J358" t="n">
        <x:v>197</x:v>
      </x:c>
      <x:c r="K358" t="n">
        <x:v>0</x:v>
      </x:c>
    </x:row>
    <x:row r="359">
      <x:c r="A359" t="str">
        <x:v>P0215</x:v>
      </x:c>
      <x:c r="B359" t="str">
        <x:v>Electrical</x:v>
      </x:c>
      <x:c r="C359" t="str">
        <x:v>SUP023</x:v>
      </x:c>
      <x:c r="D359" t="n">
        <x:v>31191.6</x:v>
      </x:c>
      <x:c r="E359" t="n">
        <x:v>191</x:v>
      </x:c>
      <x:c r="F359" t="n">
        <x:v>17</x:v>
      </x:c>
      <x:c r="G359" t="n">
        <x:v>3249</x:v>
      </x:c>
      <x:c r="H359" t="n">
        <x:v>14803.14</x:v>
      </x:c>
      <x:c r="I359" t="str">
        <x:v>0.0</x:v>
      </x:c>
      <x:c r="J359" t="n">
        <x:v>353</x:v>
      </x:c>
      <x:c r="K359" t="n">
        <x:v>0</x:v>
      </x:c>
    </x:row>
    <x:row r="360">
      <x:c r="A360" t="str">
        <x:v>P0198</x:v>
      </x:c>
      <x:c r="B360" t="str">
        <x:v>Hardware</x:v>
      </x:c>
      <x:c r="C360" t="str">
        <x:v>SUP051</x:v>
      </x:c>
      <x:c r="D360" t="n">
        <x:v>517087.8</x:v>
      </x:c>
      <x:c r="E360" t="n">
        <x:v>579</x:v>
      </x:c>
      <x:c r="F360" t="n">
        <x:v>44</x:v>
      </x:c>
      <x:c r="G360" t="n">
        <x:v>4119</x:v>
      </x:c>
      <x:c r="H360" t="n">
        <x:v>118629.9</x:v>
      </x:c>
      <x:c r="I360" t="str">
        <x:v>0.0</x:v>
      </x:c>
      <x:c r="J360" t="n">
        <x:v>348</x:v>
      </x:c>
      <x:c r="K360" t="n">
        <x:v>2</x:v>
      </x:c>
    </x:row>
    <x:row r="361">
      <x:c r="A361" t="str">
        <x:v>P0193</x:v>
      </x:c>
      <x:c r="B361" t="str">
        <x:v>Beverages</x:v>
      </x:c>
      <x:c r="C361" t="str">
        <x:v>SUP020</x:v>
      </x:c>
      <x:c r="D361" t="n">
        <x:v>148812.05</x:v>
      </x:c>
      <x:c r="E361" t="n">
        <x:v>1624</x:v>
      </x:c>
      <x:c r="F361" t="n">
        <x:v>99</x:v>
      </x:c>
      <x:c r="G361" t="n">
        <x:v>4089</x:v>
      </x:c>
      <x:c r="H361" t="n">
        <x:v>14065.8</x:v>
      </x:c>
      <x:c r="I361" t="str">
        <x:v>0.0</x:v>
      </x:c>
      <x:c r="J361" t="n">
        <x:v>0</x:v>
      </x:c>
      <x:c r="K361" t="n">
        <x:v>2</x:v>
      </x:c>
    </x:row>
    <x:row r="362">
      <x:c r="A362" t="str">
        <x:v>P0396</x:v>
      </x:c>
      <x:c r="B362" t="str">
        <x:v>Personal Care</x:v>
      </x:c>
      <x:c r="C362" t="str">
        <x:v>SUP028</x:v>
      </x:c>
      <x:c r="D362" t="n">
        <x:v>428294.52</x:v>
      </x:c>
      <x:c r="E362" t="n">
        <x:v>75</x:v>
      </x:c>
      <x:c r="F362" t="n">
        <x:v>3</x:v>
      </x:c>
      <x:c r="G362" t="n">
        <x:v>2799</x:v>
      </x:c>
      <x:c r="H362" t="n">
        <x:v>410299.95</x:v>
      </x:c>
      <x:c r="I362" t="str">
        <x:v>0.0</x:v>
      </x:c>
      <x:c r="J362" t="n">
        <x:v>1183</x:v>
      </x:c>
      <x:c r="K362" t="n">
        <x:v>0</x:v>
      </x:c>
    </x:row>
    <x:row r="363">
      <x:c r="A363" t="str">
        <x:v>P0310</x:v>
      </x:c>
      <x:c r="B363" t="str">
        <x:v>Hardware</x:v>
      </x:c>
      <x:c r="C363" t="str">
        <x:v>SUP064</x:v>
      </x:c>
      <x:c r="D363" t="n">
        <x:v>401299.6</x:v>
      </x:c>
      <x:c r="E363" t="n">
        <x:v>198</x:v>
      </x:c>
      <x:c r="F363" t="n">
        <x:v>26</x:v>
      </x:c>
      <x:c r="G363" t="n">
        <x:v>2894</x:v>
      </x:c>
      <x:c r="H363" t="n">
        <x:v>116323.44</x:v>
      </x:c>
      <x:c r="I363" t="str">
        <x:v>0.0</x:v>
      </x:c>
      <x:c r="J363" t="n">
        <x:v>0</x:v>
      </x:c>
      <x:c r="K363" t="n">
        <x:v>1</x:v>
      </x:c>
    </x:row>
    <x:row r="364">
      <x:c r="A364" t="str">
        <x:v>P0463</x:v>
      </x:c>
      <x:c r="B364" t="str">
        <x:v>Electrical</x:v>
      </x:c>
      <x:c r="C364" t="str">
        <x:v>SUP033</x:v>
      </x:c>
      <x:c r="D364" t="n">
        <x:v>193661.53</x:v>
      </x:c>
      <x:c r="E364" t="n">
        <x:v>358</x:v>
      </x:c>
      <x:c r="F364" t="n">
        <x:v>26</x:v>
      </x:c>
      <x:c r="G364" t="n">
        <x:v>2159</x:v>
      </x:c>
      <x:c r="H364" t="n">
        <x:v>128911</x:v>
      </x:c>
      <x:c r="I364" t="str">
        <x:v>0.0</x:v>
      </x:c>
      <x:c r="J364" t="n">
        <x:v>235</x:v>
      </x:c>
      <x:c r="K364" t="n">
        <x:v>0</x:v>
      </x:c>
    </x:row>
    <x:row r="365">
      <x:c r="A365" t="str">
        <x:v>P0251</x:v>
      </x:c>
      <x:c r="B365" t="str">
        <x:v>Household</x:v>
      </x:c>
      <x:c r="C365" t="str">
        <x:v>SUP043</x:v>
      </x:c>
      <x:c r="D365" t="n">
        <x:v>179720.16</x:v>
      </x:c>
      <x:c r="E365" t="n">
        <x:v>38</x:v>
      </x:c>
      <x:c r="F365" t="n">
        <x:v>3</x:v>
      </x:c>
      <x:c r="G365" t="n">
        <x:v>3396</x:v>
      </x:c>
      <x:c r="H365" t="n">
        <x:v>342392.6</x:v>
      </x:c>
      <x:c r="I365" t="str">
        <x:v>0.0</x:v>
      </x:c>
      <x:c r="J365" t="n">
        <x:v>4885</x:v>
      </x:c>
      <x:c r="K365" t="n">
        <x:v>0</x:v>
      </x:c>
    </x:row>
    <x:row r="366">
      <x:c r="A366" t="str">
        <x:v>P0446</x:v>
      </x:c>
      <x:c r="B366" t="str">
        <x:v>Hardware</x:v>
      </x:c>
      <x:c r="C366" t="str">
        <x:v>SUP048</x:v>
      </x:c>
      <x:c r="D366" t="n">
        <x:v>474161.56</x:v>
      </x:c>
      <x:c r="E366" t="n">
        <x:v>28</x:v>
      </x:c>
      <x:c r="F366" t="n">
        <x:v>3</x:v>
      </x:c>
      <x:c r="G366" t="n">
        <x:v>2627</x:v>
      </x:c>
      <x:c r="H366" t="n">
        <x:v>206170.32</x:v>
      </x:c>
      <x:c r="I366" t="str">
        <x:v>0.0</x:v>
      </x:c>
      <x:c r="J366" t="n">
        <x:v>0</x:v>
      </x:c>
      <x:c r="K366" t="n">
        <x:v>0</x:v>
      </x:c>
    </x:row>
    <x:row r="367">
      <x:c r="A367" t="str">
        <x:v>P0257</x:v>
      </x:c>
      <x:c r="B367" t="str">
        <x:v>Beverages</x:v>
      </x:c>
      <x:c r="C367" t="str">
        <x:v>SUP012</x:v>
      </x:c>
      <x:c r="D367" t="n">
        <x:v>483438.2</x:v>
      </x:c>
      <x:c r="E367" t="n">
        <x:v>28</x:v>
      </x:c>
      <x:c r="F367" t="n">
        <x:v>3</x:v>
      </x:c>
      <x:c r="G367" t="n">
        <x:v>3584</x:v>
      </x:c>
      <x:c r="H367" t="n">
        <x:v>341450.67</x:v>
      </x:c>
      <x:c r="I367" t="str">
        <x:v>0.0</x:v>
      </x:c>
      <x:c r="J367" t="n">
        <x:v>873</x:v>
      </x:c>
      <x:c r="K367" t="n">
        <x:v>0</x:v>
      </x:c>
    </x:row>
    <x:row r="368">
      <x:c r="A368" t="str">
        <x:v>P0437</x:v>
      </x:c>
      <x:c r="B368" t="str">
        <x:v>Packaging</x:v>
      </x:c>
      <x:c r="C368" t="str">
        <x:v>SUP023</x:v>
      </x:c>
      <x:c r="D368" t="n">
        <x:v>170671.15</x:v>
      </x:c>
      <x:c r="E368" t="n">
        <x:v>532</x:v>
      </x:c>
      <x:c r="F368" t="n">
        <x:v>38</x:v>
      </x:c>
      <x:c r="G368" t="n">
        <x:v>2339</x:v>
      </x:c>
      <x:c r="H368" t="n">
        <x:v>96143.45</x:v>
      </x:c>
      <x:c r="I368" t="str">
        <x:v>0.0</x:v>
      </x:c>
      <x:c r="J368" t="n">
        <x:v>367</x:v>
      </x:c>
      <x:c r="K368" t="n">
        <x:v>1</x:v>
      </x:c>
    </x:row>
    <x:row r="369">
      <x:c r="A369" t="str">
        <x:v>P0449</x:v>
      </x:c>
      <x:c r="B369" t="str">
        <x:v>Beverages</x:v>
      </x:c>
      <x:c r="C369" t="str">
        <x:v>SUP015</x:v>
      </x:c>
      <x:c r="D369" t="n">
        <x:v>70497.36</x:v>
      </x:c>
      <x:c r="E369" t="n">
        <x:v>65</x:v>
      </x:c>
      <x:c r="F369" t="n">
        <x:v>2</x:v>
      </x:c>
      <x:c r="G369" t="n">
        <x:v>2253</x:v>
      </x:c>
      <x:c r="H369" t="n">
        <x:v>137189.84</x:v>
      </x:c>
      <x:c r="I369" t="str">
        <x:v>0.0</x:v>
      </x:c>
      <x:c r="J369" t="n">
        <x:v>4226</x:v>
      </x:c>
      <x:c r="K369" t="n">
        <x:v>0</x:v>
      </x:c>
    </x:row>
    <x:row r="370">
      <x:c r="A370" t="str">
        <x:v>P0383</x:v>
      </x:c>
      <x:c r="B370" t="str">
        <x:v>Electrical</x:v>
      </x:c>
      <x:c r="C370" t="str">
        <x:v>SUP064</x:v>
      </x:c>
      <x:c r="D370" t="n">
        <x:v>84297.99</x:v>
      </x:c>
      <x:c r="E370" t="n">
        <x:v>55</x:v>
      </x:c>
      <x:c r="F370" t="n">
        <x:v>4</x:v>
      </x:c>
      <x:c r="G370" t="n">
        <x:v>2194</x:v>
      </x:c>
      <x:c r="H370" t="n">
        <x:v>46756.01</x:v>
      </x:c>
      <x:c r="I370" t="str">
        <x:v>0.0</x:v>
      </x:c>
      <x:c r="J370" t="n">
        <x:v>21</x:v>
      </x:c>
      <x:c r="K370" t="n">
        <x:v>0</x:v>
      </x:c>
    </x:row>
    <x:row r="371">
      <x:c r="A371" t="str">
        <x:v>P0353</x:v>
      </x:c>
      <x:c r="B371" t="str">
        <x:v>Beverages</x:v>
      </x:c>
      <x:c r="C371" t="str">
        <x:v>SUP033</x:v>
      </x:c>
      <x:c r="D371" t="n">
        <x:v>135854.3</x:v>
      </x:c>
      <x:c r="E371" t="n">
        <x:v>257</x:v>
      </x:c>
      <x:c r="F371" t="n">
        <x:v>28</x:v>
      </x:c>
      <x:c r="G371" t="n">
        <x:v>2410</x:v>
      </x:c>
      <x:c r="H371" t="n">
        <x:v>62008.95</x:v>
      </x:c>
      <x:c r="I371" t="str">
        <x:v>0.0</x:v>
      </x:c>
      <x:c r="J371" t="n">
        <x:v>321</x:v>
      </x:c>
      <x:c r="K371" t="n">
        <x:v>2</x:v>
      </x:c>
    </x:row>
    <x:row r="372">
      <x:c r="A372" t="str">
        <x:v>P0081</x:v>
      </x:c>
      <x:c r="B372" t="str">
        <x:v>Beverages</x:v>
      </x:c>
      <x:c r="C372" t="str">
        <x:v>SUP050</x:v>
      </x:c>
      <x:c r="D372" t="n">
        <x:v>1015810.18</x:v>
      </x:c>
      <x:c r="E372" t="n">
        <x:v>179</x:v>
      </x:c>
      <x:c r="F372" t="n">
        <x:v>14</x:v>
      </x:c>
      <x:c r="G372" t="n">
        <x:v>5653</x:v>
      </x:c>
      <x:c r="H372" t="n">
        <x:v>442403.72</x:v>
      </x:c>
      <x:c r="I372" t="str">
        <x:v>0.0</x:v>
      </x:c>
      <x:c r="J372" t="n">
        <x:v>2164</x:v>
      </x:c>
      <x:c r="K372" t="n">
        <x:v>0</x:v>
      </x:c>
    </x:row>
    <x:row r="373">
      <x:c r="A373" t="str">
        <x:v>P0361</x:v>
      </x:c>
      <x:c r="B373" t="str">
        <x:v>Beverages</x:v>
      </x:c>
      <x:c r="C373" t="str">
        <x:v>SUP052</x:v>
      </x:c>
      <x:c r="D373" t="n">
        <x:v>247400.16</x:v>
      </x:c>
      <x:c r="E373" t="n">
        <x:v>112</x:v>
      </x:c>
      <x:c r="F373" t="n">
        <x:v>9</x:v>
      </x:c>
      <x:c r="G373" t="n">
        <x:v>2548</x:v>
      </x:c>
      <x:c r="H373" t="n">
        <x:v>143497.29</x:v>
      </x:c>
      <x:c r="I373" t="str">
        <x:v>0.0</x:v>
      </x:c>
      <x:c r="J373" t="n">
        <x:v>465</x:v>
      </x:c>
      <x:c r="K373" t="n">
        <x:v>0</x:v>
      </x:c>
    </x:row>
    <x:row r="374">
      <x:c r="A374" t="str">
        <x:v>P0428</x:v>
      </x:c>
      <x:c r="B374" t="str">
        <x:v>Personal Care</x:v>
      </x:c>
      <x:c r="C374" t="str">
        <x:v>SUP024</x:v>
      </x:c>
      <x:c r="D374" t="n">
        <x:v>40660</x:v>
      </x:c>
      <x:c r="E374" t="n">
        <x:v>829</x:v>
      </x:c>
      <x:c r="F374" t="n">
        <x:v>51</x:v>
      </x:c>
      <x:c r="G374" t="n">
        <x:v>2729</x:v>
      </x:c>
      <x:c r="H374" t="n">
        <x:v>18450.45</x:v>
      </x:c>
      <x:c r="I374" t="str">
        <x:v>0.0</x:v>
      </x:c>
      <x:c r="J374" t="n">
        <x:v>0</x:v>
      </x:c>
      <x:c r="K374" t="n">
        <x:v>1</x:v>
      </x:c>
    </x:row>
    <x:row r="375">
      <x:c r="A375" t="str">
        <x:v>P0285</x:v>
      </x:c>
      <x:c r="B375" t="str">
        <x:v>Packaging</x:v>
      </x:c>
      <x:c r="C375" t="str">
        <x:v>SUP051</x:v>
      </x:c>
      <x:c r="D375" t="n">
        <x:v>250240.32</x:v>
      </x:c>
      <x:c r="E375" t="n">
        <x:v>344</x:v>
      </x:c>
      <x:c r="F375" t="n">
        <x:v>24</x:v>
      </x:c>
      <x:c r="G375" t="n">
        <x:v>2977</x:v>
      </x:c>
      <x:c r="H375" t="n">
        <x:v>70327.74</x:v>
      </x:c>
      <x:c r="I375" t="str">
        <x:v>0.0</x:v>
      </x:c>
      <x:c r="J375" t="n">
        <x:v>0</x:v>
      </x:c>
      <x:c r="K375" t="n">
        <x:v>0</x:v>
      </x:c>
    </x:row>
    <x:row r="376">
      <x:c r="A376" t="str">
        <x:v>P0247</x:v>
      </x:c>
      <x:c r="B376" t="str">
        <x:v>Electrical</x:v>
      </x:c>
      <x:c r="C376" t="str">
        <x:v>SUP041</x:v>
      </x:c>
      <x:c r="D376" t="n">
        <x:v>237978.56</x:v>
      </x:c>
      <x:c r="E376" t="n">
        <x:v>277</x:v>
      </x:c>
      <x:c r="F376" t="n">
        <x:v>18</x:v>
      </x:c>
      <x:c r="G376" t="n">
        <x:v>2891</x:v>
      </x:c>
      <x:c r="H376" t="n">
        <x:v>161996.45</x:v>
      </x:c>
      <x:c r="I376" t="str">
        <x:v>0.0</x:v>
      </x:c>
      <x:c r="J376" t="n">
        <x:v>1462</x:v>
      </x:c>
      <x:c r="K376" t="n">
        <x:v>0</x:v>
      </x:c>
    </x:row>
    <x:row r="377">
      <x:c r="A377" t="str">
        <x:v>P0254</x:v>
      </x:c>
      <x:c r="B377" t="str">
        <x:v>Hardware</x:v>
      </x:c>
      <x:c r="C377" t="str">
        <x:v>SUP033</x:v>
      </x:c>
      <x:c r="D377" t="n">
        <x:v>361645.71</x:v>
      </x:c>
      <x:c r="E377" t="n">
        <x:v>513</x:v>
      </x:c>
      <x:c r="F377" t="n">
        <x:v>40</x:v>
      </x:c>
      <x:c r="G377" t="n">
        <x:v>3106</x:v>
      </x:c>
      <x:c r="H377" t="n">
        <x:v>69738.76</x:v>
      </x:c>
      <x:c r="I377" t="str">
        <x:v>0.0</x:v>
      </x:c>
      <x:c r="J377" t="n">
        <x:v>0</x:v>
      </x:c>
      <x:c r="K377" t="n">
        <x:v>0</x:v>
      </x:c>
    </x:row>
    <x:row r="378">
      <x:c r="A378" t="str">
        <x:v>P0331</x:v>
      </x:c>
      <x:c r="B378" t="str">
        <x:v>Household</x:v>
      </x:c>
      <x:c r="C378" t="str">
        <x:v>SUP052</x:v>
      </x:c>
      <x:c r="D378" t="n">
        <x:v>182411.2</x:v>
      </x:c>
      <x:c r="E378" t="n">
        <x:v>125</x:v>
      </x:c>
      <x:c r="F378" t="n">
        <x:v>10</x:v>
      </x:c>
      <x:c r="G378" t="n">
        <x:v>2893</x:v>
      </x:c>
      <x:c r="H378" t="n">
        <x:v>135920.58</x:v>
      </x:c>
      <x:c r="I378" t="str">
        <x:v>0.0</x:v>
      </x:c>
      <x:c r="J378" t="n">
        <x:v>515</x:v>
      </x:c>
      <x:c r="K378" t="n">
        <x:v>0</x:v>
      </x:c>
    </x:row>
    <x:row r="379">
      <x:c r="A379" t="str">
        <x:v>P0332</x:v>
      </x:c>
      <x:c r="B379" t="str">
        <x:v>Personal Care</x:v>
      </x:c>
      <x:c r="C379" t="str">
        <x:v>SUP008</x:v>
      </x:c>
      <x:c r="D379" t="n">
        <x:v>269522.28</x:v>
      </x:c>
      <x:c r="E379" t="n">
        <x:v>199</x:v>
      </x:c>
      <x:c r="F379" t="n">
        <x:v>12</x:v>
      </x:c>
      <x:c r="G379" t="n">
        <x:v>2470</x:v>
      </x:c>
      <x:c r="H379" t="n">
        <x:v>148224.51</x:v>
      </x:c>
      <x:c r="I379" t="str">
        <x:v>0.0</x:v>
      </x:c>
      <x:c r="J379" t="n">
        <x:v>175</x:v>
      </x:c>
      <x:c r="K379" t="n">
        <x:v>1</x:v>
      </x:c>
    </x:row>
    <x:row r="380">
      <x:c r="A380" t="str">
        <x:v>P0346</x:v>
      </x:c>
      <x:c r="B380" t="str">
        <x:v>Dry Grocery</x:v>
      </x:c>
      <x:c r="C380" t="str">
        <x:v>SUP052</x:v>
      </x:c>
      <x:c r="D380" t="n">
        <x:v>281079.84</x:v>
      </x:c>
      <x:c r="E380" t="n">
        <x:v>793</x:v>
      </x:c>
      <x:c r="F380" t="n">
        <x:v>64</x:v>
      </x:c>
      <x:c r="G380" t="n">
        <x:v>2801</x:v>
      </x:c>
      <x:c r="H380" t="n">
        <x:v>146748.67</x:v>
      </x:c>
      <x:c r="I380" t="str">
        <x:v>0.0</x:v>
      </x:c>
      <x:c r="J380" t="n">
        <x:v>156</x:v>
      </x:c>
      <x:c r="K380" t="n">
        <x:v>1</x:v>
      </x:c>
    </x:row>
    <x:row r="381">
      <x:c r="A381" t="str">
        <x:v>P0188</x:v>
      </x:c>
      <x:c r="B381" t="str">
        <x:v>Personal Care</x:v>
      </x:c>
      <x:c r="C381" t="str">
        <x:v>SUP021</x:v>
      </x:c>
      <x:c r="D381" t="n">
        <x:v>428431.9</x:v>
      </x:c>
      <x:c r="E381" t="n">
        <x:v>75</x:v>
      </x:c>
      <x:c r="F381" t="n">
        <x:v>9</x:v>
      </x:c>
      <x:c r="G381" t="n">
        <x:v>3338</x:v>
      </x:c>
      <x:c r="H381" t="n">
        <x:v>208167.28</x:v>
      </x:c>
      <x:c r="I381" t="str">
        <x:v>0.0</x:v>
      </x:c>
      <x:c r="J381" t="n">
        <x:v>677</x:v>
      </x:c>
      <x:c r="K381" t="n">
        <x:v>0</x:v>
      </x:c>
    </x:row>
    <x:row r="382">
      <x:c r="A382" t="str">
        <x:v>P0208</x:v>
      </x:c>
      <x:c r="B382" t="str">
        <x:v>Cleaning</x:v>
      </x:c>
      <x:c r="C382" t="str">
        <x:v>SUP022</x:v>
      </x:c>
      <x:c r="D382" t="n">
        <x:v>32053.18</x:v>
      </x:c>
      <x:c r="E382" t="n">
        <x:v>957</x:v>
      </x:c>
      <x:c r="F382" t="n">
        <x:v>61</x:v>
      </x:c>
      <x:c r="G382" t="n">
        <x:v>3863</x:v>
      </x:c>
      <x:c r="H382" t="n">
        <x:v>5536.22</x:v>
      </x:c>
      <x:c r="I382" t="str">
        <x:v>0.0</x:v>
      </x:c>
      <x:c r="J382" t="n">
        <x:v>0</x:v>
      </x:c>
      <x:c r="K382" t="n">
        <x:v>2</x:v>
      </x:c>
    </x:row>
    <x:row r="383">
      <x:c r="A383" t="str">
        <x:v>P0282</x:v>
      </x:c>
      <x:c r="B383" t="str">
        <x:v>Dry Grocery</x:v>
      </x:c>
      <x:c r="C383" t="str">
        <x:v>SUP007</x:v>
      </x:c>
      <x:c r="D383" t="n">
        <x:v>123796.64</x:v>
      </x:c>
      <x:c r="E383" t="n">
        <x:v>798</x:v>
      </x:c>
      <x:c r="F383" t="n">
        <x:v>54</x:v>
      </x:c>
      <x:c r="G383" t="n">
        <x:v>3526</x:v>
      </x:c>
      <x:c r="H383" t="n">
        <x:v>48940.2</x:v>
      </x:c>
      <x:c r="I383" t="str">
        <x:v>0.0</x:v>
      </x:c>
      <x:c r="J383" t="n">
        <x:v>0</x:v>
      </x:c>
      <x:c r="K383" t="n">
        <x:v>1</x:v>
      </x:c>
    </x:row>
    <x:row r="384">
      <x:c r="A384" t="str">
        <x:v>P0315</x:v>
      </x:c>
      <x:c r="B384" t="str">
        <x:v>Household</x:v>
      </x:c>
      <x:c r="C384" t="str">
        <x:v>SUP038</x:v>
      </x:c>
      <x:c r="D384" t="n">
        <x:v>307460.61</x:v>
      </x:c>
      <x:c r="E384" t="n">
        <x:v>601</x:v>
      </x:c>
      <x:c r="F384" t="n">
        <x:v>47</x:v>
      </x:c>
      <x:c r="G384" t="n">
        <x:v>2950</x:v>
      </x:c>
      <x:c r="H384" t="n">
        <x:v>74658.56</x:v>
      </x:c>
      <x:c r="I384" t="str">
        <x:v>0.0</x:v>
      </x:c>
      <x:c r="J384" t="n">
        <x:v>107</x:v>
      </x:c>
      <x:c r="K384" t="n">
        <x:v>0</x:v>
      </x:c>
    </x:row>
    <x:row r="385">
      <x:c r="A385" t="str">
        <x:v>P0391</x:v>
      </x:c>
      <x:c r="B385" t="str">
        <x:v>Electrical</x:v>
      </x:c>
      <x:c r="C385" t="str">
        <x:v>SUP026</x:v>
      </x:c>
      <x:c r="D385" t="n">
        <x:v>458259.48</x:v>
      </x:c>
      <x:c r="E385" t="n">
        <x:v>147</x:v>
      </x:c>
      <x:c r="F385" t="n">
        <x:v>11</x:v>
      </x:c>
      <x:c r="G385" t="n">
        <x:v>2408</x:v>
      </x:c>
      <x:c r="H385" t="n">
        <x:v>125714.76</x:v>
      </x:c>
      <x:c r="I385" t="str">
        <x:v>0.0</x:v>
      </x:c>
      <x:c r="J385" t="n">
        <x:v>0</x:v>
      </x:c>
      <x:c r="K385" t="n">
        <x:v>1</x:v>
      </x:c>
    </x:row>
    <x:row r="386">
      <x:c r="A386" t="str">
        <x:v>P0379</x:v>
      </x:c>
      <x:c r="B386" t="str">
        <x:v>Household</x:v>
      </x:c>
      <x:c r="C386" t="str">
        <x:v>SUP034</x:v>
      </x:c>
      <x:c r="D386" t="n">
        <x:v>259445.76</x:v>
      </x:c>
      <x:c r="E386" t="n">
        <x:v>66</x:v>
      </x:c>
      <x:c r="F386" t="n">
        <x:v>4</x:v>
      </x:c>
      <x:c r="G386" t="n">
        <x:v>2498</x:v>
      </x:c>
      <x:c r="H386" t="n">
        <x:v>278460.4</x:v>
      </x:c>
      <x:c r="I386" t="str">
        <x:v>0.0</x:v>
      </x:c>
      <x:c r="J386" t="n">
        <x:v>1617</x:v>
      </x:c>
      <x:c r="K386" t="n">
        <x:v>0</x:v>
      </x:c>
    </x:row>
    <x:row r="387">
      <x:c r="A387" t="str">
        <x:v>P0223</x:v>
      </x:c>
      <x:c r="B387" t="str">
        <x:v>Electrical</x:v>
      </x:c>
      <x:c r="C387" t="str">
        <x:v>SUP033</x:v>
      </x:c>
      <x:c r="D387" t="n">
        <x:v>41018.22</x:v>
      </x:c>
      <x:c r="E387" t="n">
        <x:v>306</x:v>
      </x:c>
      <x:c r="F387" t="n">
        <x:v>19</x:v>
      </x:c>
      <x:c r="G387" t="n">
        <x:v>3564</x:v>
      </x:c>
      <x:c r="H387" t="n">
        <x:v>14742.93</x:v>
      </x:c>
      <x:c r="I387" t="str">
        <x:v>0.0</x:v>
      </x:c>
      <x:c r="J387" t="n">
        <x:v>0</x:v>
      </x:c>
      <x:c r="K387" t="n">
        <x:v>1</x:v>
      </x:c>
    </x:row>
    <x:row r="388">
      <x:c r="A388" t="str">
        <x:v>P0438</x:v>
      </x:c>
      <x:c r="B388" t="str">
        <x:v>Hardware</x:v>
      </x:c>
      <x:c r="C388" t="str">
        <x:v>SUP055</x:v>
      </x:c>
      <x:c r="D388" t="n">
        <x:v>85685.4</x:v>
      </x:c>
      <x:c r="E388" t="n">
        <x:v>114</x:v>
      </x:c>
      <x:c r="F388" t="n">
        <x:v>10</x:v>
      </x:c>
      <x:c r="G388" t="n">
        <x:v>2481</x:v>
      </x:c>
      <x:c r="H388" t="n">
        <x:v>138818.64</x:v>
      </x:c>
      <x:c r="I388" t="str">
        <x:v>0.0</x:v>
      </x:c>
      <x:c r="J388" t="n">
        <x:v>3092</x:v>
      </x:c>
      <x:c r="K388" t="n">
        <x:v>0</x:v>
      </x:c>
    </x:row>
    <x:row r="389">
      <x:c r="A389" t="str">
        <x:v>P0248</x:v>
      </x:c>
      <x:c r="B389" t="str">
        <x:v>Cleaning</x:v>
      </x:c>
      <x:c r="C389" t="str">
        <x:v>SUP058</x:v>
      </x:c>
      <x:c r="D389" t="n">
        <x:v>216326.55</x:v>
      </x:c>
      <x:c r="E389" t="n">
        <x:v>482</x:v>
      </x:c>
      <x:c r="F389" t="n">
        <x:v>41</x:v>
      </x:c>
      <x:c r="G389" t="n">
        <x:v>3531</x:v>
      </x:c>
      <x:c r="H389" t="n">
        <x:v>39228.92</x:v>
      </x:c>
      <x:c r="I389" t="str">
        <x:v>0.0</x:v>
      </x:c>
      <x:c r="J389" t="n">
        <x:v>0</x:v>
      </x:c>
      <x:c r="K389" t="n">
        <x:v>1</x:v>
      </x:c>
    </x:row>
    <x:row r="390">
      <x:c r="A390" t="str">
        <x:v>P0145</x:v>
      </x:c>
      <x:c r="B390" t="str">
        <x:v>Beverages</x:v>
      </x:c>
      <x:c r="C390" t="str">
        <x:v>SUP020</x:v>
      </x:c>
      <x:c r="D390" t="n">
        <x:v>496997.04</x:v>
      </x:c>
      <x:c r="E390" t="n">
        <x:v>751</x:v>
      </x:c>
      <x:c r="F390" t="n">
        <x:v>55</x:v>
      </x:c>
      <x:c r="G390" t="n">
        <x:v>4789</x:v>
      </x:c>
      <x:c r="H390" t="n">
        <x:v>33348.21</x:v>
      </x:c>
      <x:c r="I390" t="str">
        <x:v>0.0</x:v>
      </x:c>
      <x:c r="J390" t="n">
        <x:v>0</x:v>
      </x:c>
      <x:c r="K390" t="n">
        <x:v>2</x:v>
      </x:c>
    </x:row>
    <x:row r="391">
      <x:c r="A391" t="str">
        <x:v>P0290</x:v>
      </x:c>
      <x:c r="B391" t="str">
        <x:v>Dry Grocery</x:v>
      </x:c>
      <x:c r="C391" t="str">
        <x:v>SUP051</x:v>
      </x:c>
      <x:c r="D391" t="n">
        <x:v>256979.04</x:v>
      </x:c>
      <x:c r="E391" t="n">
        <x:v>741</x:v>
      </x:c>
      <x:c r="F391" t="n">
        <x:v>61</x:v>
      </x:c>
      <x:c r="G391" t="n">
        <x:v>3544</x:v>
      </x:c>
      <x:c r="H391" t="n">
        <x:v>41776</x:v>
      </x:c>
      <x:c r="I391" t="str">
        <x:v>0.0</x:v>
      </x:c>
      <x:c r="J391" t="n">
        <x:v>0</x:v>
      </x:c>
      <x:c r="K391" t="n">
        <x:v>2</x:v>
      </x:c>
    </x:row>
    <x:row r="392">
      <x:c r="A392" t="str">
        <x:v>P0147</x:v>
      </x:c>
      <x:c r="B392" t="str">
        <x:v>Household</x:v>
      </x:c>
      <x:c r="C392" t="str">
        <x:v>SUP005</x:v>
      </x:c>
      <x:c r="D392" t="n">
        <x:v>47626.8</x:v>
      </x:c>
      <x:c r="E392" t="n">
        <x:v>118</x:v>
      </x:c>
      <x:c r="F392" t="n">
        <x:v>7</x:v>
      </x:c>
      <x:c r="G392" t="n">
        <x:v>4733</x:v>
      </x:c>
      <x:c r="H392" t="n">
        <x:v>22772.76</x:v>
      </x:c>
      <x:c r="I392" t="str">
        <x:v>0.0</x:v>
      </x:c>
      <x:c r="J392" t="n">
        <x:v>643</x:v>
      </x:c>
      <x:c r="K392" t="n">
        <x:v>0</x:v>
      </x:c>
    </x:row>
    <x:row r="393">
      <x:c r="A393" t="str">
        <x:v>P0128</x:v>
      </x:c>
      <x:c r="B393" t="str">
        <x:v>Cleaning</x:v>
      </x:c>
      <x:c r="C393" t="str">
        <x:v>SUP026</x:v>
      </x:c>
      <x:c r="D393" t="n">
        <x:v>428988.06</x:v>
      </x:c>
      <x:c r="E393" t="n">
        <x:v>1218</x:v>
      </x:c>
      <x:c r="F393" t="n">
        <x:v>77</x:v>
      </x:c>
      <x:c r="G393" t="n">
        <x:v>4776</x:v>
      </x:c>
      <x:c r="H393" t="n">
        <x:v>36296.83</x:v>
      </x:c>
      <x:c r="I393" t="str">
        <x:v>0.0</x:v>
      </x:c>
      <x:c r="J393" t="n">
        <x:v>0</x:v>
      </x:c>
      <x:c r="K393" t="n">
        <x:v>1</x:v>
      </x:c>
    </x:row>
    <x:row r="394">
      <x:c r="A394" t="str">
        <x:v>P0462</x:v>
      </x:c>
      <x:c r="B394" t="str">
        <x:v>Hardware</x:v>
      </x:c>
      <x:c r="C394" t="str">
        <x:v>SUP055</x:v>
      </x:c>
      <x:c r="D394" t="n">
        <x:v>601989.22</x:v>
      </x:c>
      <x:c r="E394" t="n">
        <x:v>60</x:v>
      </x:c>
      <x:c r="F394" t="n">
        <x:v>3</x:v>
      </x:c>
      <x:c r="G394" t="n">
        <x:v>2867</x:v>
      </x:c>
      <x:c r="H394" t="n">
        <x:v>852959.36</x:v>
      </x:c>
      <x:c r="I394" t="str">
        <x:v>0.0</x:v>
      </x:c>
      <x:c r="J394" t="n">
        <x:v>4844</x:v>
      </x:c>
      <x:c r="K394" t="n">
        <x:v>0</x:v>
      </x:c>
    </x:row>
    <x:row r="395">
      <x:c r="A395" t="str">
        <x:v>P0360</x:v>
      </x:c>
      <x:c r="B395" t="str">
        <x:v>Cleaning</x:v>
      </x:c>
      <x:c r="C395" t="str">
        <x:v>SUP009</x:v>
      </x:c>
      <x:c r="D395" t="n">
        <x:v>38767.08</x:v>
      </x:c>
      <x:c r="E395" t="n">
        <x:v>60</x:v>
      </x:c>
      <x:c r="F395" t="n">
        <x:v>4</x:v>
      </x:c>
      <x:c r="G395" t="n">
        <x:v>2898</x:v>
      </x:c>
      <x:c r="H395" t="n">
        <x:v>50828.16</x:v>
      </x:c>
      <x:c r="I395" t="str">
        <x:v>0.0</x:v>
      </x:c>
      <x:c r="J395" t="n">
        <x:v>2166</x:v>
      </x:c>
      <x:c r="K395" t="n">
        <x:v>0</x:v>
      </x:c>
    </x:row>
    <x:row r="396">
      <x:c r="A396" t="str">
        <x:v>P0348</x:v>
      </x:c>
      <x:c r="B396" t="str">
        <x:v>Personal Care</x:v>
      </x:c>
      <x:c r="C396" t="str">
        <x:v>SUP064</x:v>
      </x:c>
      <x:c r="D396" t="n">
        <x:v>236530.84</x:v>
      </x:c>
      <x:c r="E396" t="n">
        <x:v>205</x:v>
      </x:c>
      <x:c r="F396" t="n">
        <x:v>21</x:v>
      </x:c>
      <x:c r="G396" t="n">
        <x:v>2753</x:v>
      </x:c>
      <x:c r="H396" t="n">
        <x:v>107611.23</x:v>
      </x:c>
      <x:c r="I396" t="str">
        <x:v>0.0</x:v>
      </x:c>
      <x:c r="J396" t="n">
        <x:v>0</x:v>
      </x:c>
      <x:c r="K396" t="n">
        <x:v>1</x:v>
      </x:c>
    </x:row>
    <x:row r="397">
      <x:c r="A397" t="str">
        <x:v>P0158</x:v>
      </x:c>
      <x:c r="B397" t="str">
        <x:v>Hardware</x:v>
      </x:c>
      <x:c r="C397" t="str">
        <x:v>SUP018</x:v>
      </x:c>
      <x:c r="D397" t="n">
        <x:v>239309.46</x:v>
      </x:c>
      <x:c r="E397" t="n">
        <x:v>312</x:v>
      </x:c>
      <x:c r="F397" t="n">
        <x:v>28</x:v>
      </x:c>
      <x:c r="G397" t="n">
        <x:v>3611</x:v>
      </x:c>
      <x:c r="H397" t="n">
        <x:v>74211.48</x:v>
      </x:c>
      <x:c r="I397" t="str">
        <x:v>0.0</x:v>
      </x:c>
      <x:c r="J397" t="n">
        <x:v>0</x:v>
      </x:c>
      <x:c r="K397" t="n">
        <x:v>1</x:v>
      </x:c>
    </x:row>
    <x:row r="398">
      <x:c r="A398" t="str">
        <x:v>P0359</x:v>
      </x:c>
      <x:c r="B398" t="str">
        <x:v>Electrical</x:v>
      </x:c>
      <x:c r="C398" t="str">
        <x:v>SUP021</x:v>
      </x:c>
      <x:c r="D398" t="n">
        <x:v>515107</x:v>
      </x:c>
      <x:c r="E398" t="n">
        <x:v>289</x:v>
      </x:c>
      <x:c r="F398" t="n">
        <x:v>14</x:v>
      </x:c>
      <x:c r="G398" t="n">
        <x:v>2939</x:v>
      </x:c>
      <x:c r="H398" t="n">
        <x:v>252013.84</x:v>
      </x:c>
      <x:c r="I398" t="str">
        <x:v>0.0</x:v>
      </x:c>
      <x:c r="J398" t="n">
        <x:v>961</x:v>
      </x:c>
      <x:c r="K398" t="n">
        <x:v>1</x:v>
      </x:c>
    </x:row>
    <x:row r="399">
      <x:c r="A399" t="str">
        <x:v>P0136</x:v>
      </x:c>
      <x:c r="B399" t="str">
        <x:v>Cleaning</x:v>
      </x:c>
      <x:c r="C399" t="str">
        <x:v>SUP021</x:v>
      </x:c>
      <x:c r="D399" t="n">
        <x:v>817012.35</x:v>
      </x:c>
      <x:c r="E399" t="n">
        <x:v>686</x:v>
      </x:c>
      <x:c r="F399" t="n">
        <x:v>55</x:v>
      </x:c>
      <x:c r="G399" t="n">
        <x:v>4701</x:v>
      </x:c>
      <x:c r="H399" t="n">
        <x:v>189652.05</x:v>
      </x:c>
      <x:c r="I399" t="str">
        <x:v>0.0</x:v>
      </x:c>
      <x:c r="J399" t="n">
        <x:v>119</x:v>
      </x:c>
      <x:c r="K399" t="n">
        <x:v>0</x:v>
      </x:c>
    </x:row>
    <x:row r="400">
      <x:c r="A400" t="str">
        <x:v>P0276</x:v>
      </x:c>
      <x:c r="B400" t="str">
        <x:v>Personal Care</x:v>
      </x:c>
      <x:c r="C400" t="str">
        <x:v>SUP043</x:v>
      </x:c>
      <x:c r="D400" t="n">
        <x:v>162214.34</x:v>
      </x:c>
      <x:c r="E400" t="n">
        <x:v>69</x:v>
      </x:c>
      <x:c r="F400" t="n">
        <x:v>8</x:v>
      </x:c>
      <x:c r="G400" t="n">
        <x:v>2996</x:v>
      </x:c>
      <x:c r="H400" t="n">
        <x:v>382149.6</x:v>
      </x:c>
      <x:c r="I400" t="str">
        <x:v>0.0</x:v>
      </x:c>
      <x:c r="J400" t="n">
        <x:v>7490</x:v>
      </x:c>
      <x:c r="K400" t="n">
        <x:v>0</x:v>
      </x:c>
    </x:row>
    <x:row r="401">
      <x:c r="A401" t="str">
        <x:v>P0400</x:v>
      </x:c>
      <x:c r="B401" t="str">
        <x:v>Cleaning</x:v>
      </x:c>
      <x:c r="C401" t="str">
        <x:v>SUP022</x:v>
      </x:c>
      <x:c r="D401" t="n">
        <x:v>320594.65</x:v>
      </x:c>
      <x:c r="E401" t="n">
        <x:v>437</x:v>
      </x:c>
      <x:c r="F401" t="n">
        <x:v>25</x:v>
      </x:c>
      <x:c r="G401" t="n">
        <x:v>2482</x:v>
      </x:c>
      <x:c r="H401" t="n">
        <x:v>111117.85</x:v>
      </x:c>
      <x:c r="I401" t="str">
        <x:v>0.0</x:v>
      </x:c>
      <x:c r="J401" t="n">
        <x:v>0</x:v>
      </x:c>
      <x:c r="K401" t="n">
        <x:v>1</x:v>
      </x:c>
    </x:row>
    <x:row r="402">
      <x:c r="A402" t="str">
        <x:v>P0180</x:v>
      </x:c>
      <x:c r="B402" t="str">
        <x:v>Personal Care</x:v>
      </x:c>
      <x:c r="C402" t="str">
        <x:v>SUP008</x:v>
      </x:c>
      <x:c r="D402" t="n">
        <x:v>30735.18</x:v>
      </x:c>
      <x:c r="E402" t="n">
        <x:v>847</x:v>
      </x:c>
      <x:c r="F402" t="n">
        <x:v>67</x:v>
      </x:c>
      <x:c r="G402" t="n">
        <x:v>3961</x:v>
      </x:c>
      <x:c r="H402" t="n">
        <x:v>5197.63</x:v>
      </x:c>
      <x:c r="I402" t="str">
        <x:v>0.0</x:v>
      </x:c>
      <x:c r="J402" t="n">
        <x:v>8</x:v>
      </x:c>
      <x:c r="K402" t="n">
        <x:v>1</x:v>
      </x:c>
    </x:row>
    <x:row r="403">
      <x:c r="A403" t="str">
        <x:v>P0316</x:v>
      </x:c>
      <x:c r="B403" t="str">
        <x:v>Personal Care</x:v>
      </x:c>
      <x:c r="C403" t="str">
        <x:v>SUP041</x:v>
      </x:c>
      <x:c r="D403" t="n">
        <x:v>563766.21</x:v>
      </x:c>
      <x:c r="E403" t="n">
        <x:v>249</x:v>
      </x:c>
      <x:c r="F403" t="n">
        <x:v>12</x:v>
      </x:c>
      <x:c r="G403" t="n">
        <x:v>3066</x:v>
      </x:c>
      <x:c r="H403" t="n">
        <x:v>254013.12</x:v>
      </x:c>
      <x:c r="I403" t="str">
        <x:v>0.0</x:v>
      </x:c>
      <x:c r="J403" t="n">
        <x:v>443</x:v>
      </x:c>
      <x:c r="K403" t="n">
        <x:v>0</x:v>
      </x:c>
    </x:row>
    <x:row r="404">
      <x:c r="A404" t="str">
        <x:v>P0363</x:v>
      </x:c>
      <x:c r="B404" t="str">
        <x:v>Household</x:v>
      </x:c>
      <x:c r="C404" t="str">
        <x:v>SUP034</x:v>
      </x:c>
      <x:c r="D404" t="n">
        <x:v>214411.56</x:v>
      </x:c>
      <x:c r="E404" t="n">
        <x:v>183</x:v>
      </x:c>
      <x:c r="F404" t="n">
        <x:v>11</x:v>
      </x:c>
      <x:c r="G404" t="n">
        <x:v>2741</x:v>
      </x:c>
      <x:c r="H404" t="n">
        <x:v>280431.88</x:v>
      </x:c>
      <x:c r="I404" t="str">
        <x:v>0.0</x:v>
      </x:c>
      <x:c r="J404" t="n">
        <x:v>2738</x:v>
      </x:c>
      <x:c r="K404" t="n">
        <x:v>0</x:v>
      </x:c>
    </x:row>
    <x:row r="405">
      <x:c r="A405" t="str">
        <x:v>P0249</x:v>
      </x:c>
      <x:c r="B405" t="str">
        <x:v>Beverages</x:v>
      </x:c>
      <x:c r="C405" t="str">
        <x:v>SUP004</x:v>
      </x:c>
      <x:c r="D405" t="n">
        <x:v>20726.32</x:v>
      </x:c>
      <x:c r="E405" t="n">
        <x:v>323</x:v>
      </x:c>
      <x:c r="F405" t="n">
        <x:v>24</x:v>
      </x:c>
      <x:c r="G405" t="n">
        <x:v>3234</x:v>
      </x:c>
      <x:c r="H405" t="n">
        <x:v>9654.64</x:v>
      </x:c>
      <x:c r="I405" t="str">
        <x:v>0.0</x:v>
      </x:c>
      <x:c r="J405" t="n">
        <x:v>237</x:v>
      </x:c>
      <x:c r="K405" t="n">
        <x:v>1</x:v>
      </x:c>
    </x:row>
    <x:row r="406">
      <x:c r="A406" t="str">
        <x:v>P0325</x:v>
      </x:c>
      <x:c r="B406" t="str">
        <x:v>Packaging</x:v>
      </x:c>
      <x:c r="C406" t="str">
        <x:v>SUP016</x:v>
      </x:c>
      <x:c r="D406" t="n">
        <x:v>466404.96</x:v>
      </x:c>
      <x:c r="E406" t="n">
        <x:v>74</x:v>
      </x:c>
      <x:c r="F406" t="n">
        <x:v>5</x:v>
      </x:c>
      <x:c r="G406" t="n">
        <x:v>2741</x:v>
      </x:c>
      <x:c r="H406" t="n">
        <x:v>654856.93</x:v>
      </x:c>
      <x:c r="I406" t="str">
        <x:v>0.0</x:v>
      </x:c>
      <x:c r="J406" t="n">
        <x:v>2019</x:v>
      </x:c>
      <x:c r="K406" t="n">
        <x:v>0</x:v>
      </x:c>
    </x:row>
    <x:row r="407">
      <x:c r="A407" t="str">
        <x:v>P0322</x:v>
      </x:c>
      <x:c r="B407" t="str">
        <x:v>Dry Grocery</x:v>
      </x:c>
      <x:c r="C407" t="str">
        <x:v>SUP019</x:v>
      </x:c>
      <x:c r="D407" t="n">
        <x:v>507556.42</x:v>
      </x:c>
      <x:c r="E407" t="n">
        <x:v>110</x:v>
      </x:c>
      <x:c r="F407" t="n">
        <x:v>3</x:v>
      </x:c>
      <x:c r="G407" t="n">
        <x:v>2949</x:v>
      </x:c>
      <x:c r="H407" t="n">
        <x:v>195005.5</x:v>
      </x:c>
      <x:c r="I407" t="str">
        <x:v>0.0</x:v>
      </x:c>
      <x:c r="J407" t="n">
        <x:v>706</x:v>
      </x:c>
      <x:c r="K407" t="n">
        <x:v>0</x:v>
      </x:c>
    </x:row>
    <x:row r="408">
      <x:c r="A408" t="str">
        <x:v>P0232</x:v>
      </x:c>
      <x:c r="B408" t="str">
        <x:v>Cleaning</x:v>
      </x:c>
      <x:c r="C408" t="str">
        <x:v>SUP018</x:v>
      </x:c>
      <x:c r="D408" t="n">
        <x:v>114741.2</x:v>
      </x:c>
      <x:c r="E408" t="n">
        <x:v>73</x:v>
      </x:c>
      <x:c r="F408" t="n">
        <x:v>5</x:v>
      </x:c>
      <x:c r="G408" t="n">
        <x:v>3083</x:v>
      </x:c>
      <x:c r="H408" t="n">
        <x:v>52651.85</x:v>
      </x:c>
      <x:c r="I408" t="str">
        <x:v>0.0</x:v>
      </x:c>
      <x:c r="J408" t="n">
        <x:v>214</x:v>
      </x:c>
      <x:c r="K408" t="n">
        <x:v>0</x:v>
      </x:c>
    </x:row>
    <x:row r="409">
      <x:c r="A409" t="str">
        <x:v>P0184</x:v>
      </x:c>
      <x:c r="B409" t="str">
        <x:v>Cleaning</x:v>
      </x:c>
      <x:c r="C409" t="str">
        <x:v>SUP014</x:v>
      </x:c>
      <x:c r="D409" t="n">
        <x:v>369499.71</x:v>
      </x:c>
      <x:c r="E409" t="n">
        <x:v>1801</x:v>
      </x:c>
      <x:c r="F409" t="n">
        <x:v>119</x:v>
      </x:c>
      <x:c r="G409" t="n">
        <x:v>4234</x:v>
      </x:c>
      <x:c r="H409" t="n">
        <x:v>79495.5</x:v>
      </x:c>
      <x:c r="I409" t="str">
        <x:v>0.0</x:v>
      </x:c>
      <x:c r="J409" t="n">
        <x:v>193</x:v>
      </x:c>
      <x:c r="K409" t="n">
        <x:v>3</x:v>
      </x:c>
    </x:row>
    <x:row r="410">
      <x:c r="A410" t="str">
        <x:v>P0131</x:v>
      </x:c>
      <x:c r="B410" t="str">
        <x:v>Household</x:v>
      </x:c>
      <x:c r="C410" t="str">
        <x:v>SUP041</x:v>
      </x:c>
      <x:c r="D410" t="n">
        <x:v>698265.74</x:v>
      </x:c>
      <x:c r="E410" t="n">
        <x:v>285</x:v>
      </x:c>
      <x:c r="F410" t="n">
        <x:v>21</x:v>
      </x:c>
      <x:c r="G410" t="n">
        <x:v>4567</x:v>
      </x:c>
      <x:c r="H410" t="n">
        <x:v>275862.62</x:v>
      </x:c>
      <x:c r="I410" t="str">
        <x:v>0.0</x:v>
      </x:c>
      <x:c r="J410" t="n">
        <x:v>59</x:v>
      </x:c>
      <x:c r="K410" t="n">
        <x:v>0</x:v>
      </x:c>
    </x:row>
    <x:row r="411">
      <x:c r="A411" t="str">
        <x:v>P0149</x:v>
      </x:c>
      <x:c r="B411" t="str">
        <x:v>Packaging</x:v>
      </x:c>
      <x:c r="C411" t="str">
        <x:v>SUP004</x:v>
      </x:c>
      <x:c r="D411" t="n">
        <x:v>241801.35</x:v>
      </x:c>
      <x:c r="E411" t="n">
        <x:v>157</x:v>
      </x:c>
      <x:c r="F411" t="n">
        <x:v>18</x:v>
      </x:c>
      <x:c r="G411" t="n">
        <x:v>3986</x:v>
      </x:c>
      <x:c r="H411" t="n">
        <x:v>182785.02</x:v>
      </x:c>
      <x:c r="I411" t="str">
        <x:v>0.0</x:v>
      </x:c>
      <x:c r="J411" t="n">
        <x:v>1255</x:v>
      </x:c>
      <x:c r="K411" t="n">
        <x:v>0</x:v>
      </x:c>
    </x:row>
    <x:row r="412">
      <x:c r="A412" t="str">
        <x:v>P0318</x:v>
      </x:c>
      <x:c r="B412" t="str">
        <x:v>Hardware</x:v>
      </x:c>
      <x:c r="C412" t="str">
        <x:v>SUP038</x:v>
      </x:c>
      <x:c r="D412" t="n">
        <x:v>190498.5</x:v>
      </x:c>
      <x:c r="E412" t="n">
        <x:v>75</x:v>
      </x:c>
      <x:c r="F412" t="n">
        <x:v>8</x:v>
      </x:c>
      <x:c r="G412" t="n">
        <x:v>2856</x:v>
      </x:c>
      <x:c r="H412" t="n">
        <x:v>112953.99</x:v>
      </x:c>
      <x:c r="I412" t="str">
        <x:v>0.0</x:v>
      </x:c>
      <x:c r="J412" t="n">
        <x:v>1233</x:v>
      </x:c>
      <x:c r="K412" t="n">
        <x:v>0</x:v>
      </x:c>
    </x:row>
    <x:row r="413">
      <x:c r="A413" t="str">
        <x:v>P0117</x:v>
      </x:c>
      <x:c r="B413" t="str">
        <x:v>Packaging</x:v>
      </x:c>
      <x:c r="C413" t="str">
        <x:v>SUP051</x:v>
      </x:c>
      <x:c r="D413" t="n">
        <x:v>417796.88</x:v>
      </x:c>
      <x:c r="E413" t="n">
        <x:v>958</x:v>
      </x:c>
      <x:c r="F413" t="n">
        <x:v>71</x:v>
      </x:c>
      <x:c r="G413" t="n">
        <x:v>4694</x:v>
      </x:c>
      <x:c r="H413" t="n">
        <x:v>34855.2</x:v>
      </x:c>
      <x:c r="I413" t="str">
        <x:v>0.0</x:v>
      </x:c>
      <x:c r="J413" t="n">
        <x:v>0</x:v>
      </x:c>
      <x:c r="K413" t="n">
        <x:v>2</x:v>
      </x:c>
    </x:row>
    <x:row r="414">
      <x:c r="A414" t="str">
        <x:v>P0415</x:v>
      </x:c>
      <x:c r="B414" t="str">
        <x:v>Electrical</x:v>
      </x:c>
      <x:c r="C414" t="str">
        <x:v>SUP050</x:v>
      </x:c>
      <x:c r="D414" t="n">
        <x:v>236395.4</x:v>
      </x:c>
      <x:c r="E414" t="n">
        <x:v>51</x:v>
      </x:c>
      <x:c r="F414" t="n">
        <x:v>5</x:v>
      </x:c>
      <x:c r="G414" t="n">
        <x:v>2386</x:v>
      </x:c>
      <x:c r="H414" t="n">
        <x:v>124136.11</x:v>
      </x:c>
      <x:c r="I414" t="str">
        <x:v>0.0</x:v>
      </x:c>
      <x:c r="J414" t="n">
        <x:v>375</x:v>
      </x:c>
      <x:c r="K414" t="n">
        <x:v>0</x:v>
      </x:c>
    </x:row>
    <x:row r="415">
      <x:c r="A415" t="str">
        <x:v>P0170</x:v>
      </x:c>
      <x:c r="B415" t="str">
        <x:v>Dry Grocery</x:v>
      </x:c>
      <x:c r="C415" t="str">
        <x:v>SUP058</x:v>
      </x:c>
      <x:c r="D415" t="n">
        <x:v>428744.26</x:v>
      </x:c>
      <x:c r="E415" t="n">
        <x:v>1147</x:v>
      </x:c>
      <x:c r="F415" t="n">
        <x:v>89</x:v>
      </x:c>
      <x:c r="G415" t="n">
        <x:v>4269</x:v>
      </x:c>
      <x:c r="H415" t="n">
        <x:v>66214.54</x:v>
      </x:c>
      <x:c r="I415" t="str">
        <x:v>0.0</x:v>
      </x:c>
      <x:c r="J415" t="n">
        <x:v>0</x:v>
      </x:c>
      <x:c r="K415" t="n">
        <x:v>1</x:v>
      </x:c>
    </x:row>
    <x:row r="416">
      <x:c r="A416" t="str">
        <x:v>P0264</x:v>
      </x:c>
      <x:c r="B416" t="str">
        <x:v>Cleaning</x:v>
      </x:c>
      <x:c r="C416" t="str">
        <x:v>SUP020</x:v>
      </x:c>
      <x:c r="D416" t="n">
        <x:v>110458.1</x:v>
      </x:c>
      <x:c r="E416" t="n">
        <x:v>800</x:v>
      </x:c>
      <x:c r="F416" t="n">
        <x:v>60</x:v>
      </x:c>
      <x:c r="G416" t="n">
        <x:v>3178</x:v>
      </x:c>
      <x:c r="H416" t="n">
        <x:v>29759.4</x:v>
      </x:c>
      <x:c r="I416" t="str">
        <x:v>0.0</x:v>
      </x:c>
      <x:c r="J416" t="n">
        <x:v>0</x:v>
      </x:c>
      <x:c r="K416" t="n">
        <x:v>0</x:v>
      </x:c>
    </x:row>
    <x:row r="417">
      <x:c r="A417" t="str">
        <x:v>P0166</x:v>
      </x:c>
      <x:c r="B417" t="str">
        <x:v>Hardware</x:v>
      </x:c>
      <x:c r="C417" t="str">
        <x:v>SUP059</x:v>
      </x:c>
      <x:c r="D417" t="n">
        <x:v>347876.75</x:v>
      </x:c>
      <x:c r="E417" t="n">
        <x:v>91</x:v>
      </x:c>
      <x:c r="F417" t="n">
        <x:v>9</x:v>
      </x:c>
      <x:c r="G417" t="n">
        <x:v>3782</x:v>
      </x:c>
      <x:c r="H417" t="n">
        <x:v>249873.27</x:v>
      </x:c>
      <x:c r="I417" t="str">
        <x:v>0.0</x:v>
      </x:c>
      <x:c r="J417" t="n">
        <x:v>1543</x:v>
      </x:c>
      <x:c r="K417" t="n">
        <x:v>0</x:v>
      </x:c>
    </x:row>
    <x:row r="418">
      <x:c r="A418" t="str">
        <x:v>P0134</x:v>
      </x:c>
      <x:c r="B418" t="str">
        <x:v>Hardware</x:v>
      </x:c>
      <x:c r="C418" t="str">
        <x:v>SUP028</x:v>
      </x:c>
      <x:c r="D418" t="n">
        <x:v>105838.91</x:v>
      </x:c>
      <x:c r="E418" t="n">
        <x:v>53</x:v>
      </x:c>
      <x:c r="F418" t="n">
        <x:v>5</x:v>
      </x:c>
      <x:c r="G418" t="n">
        <x:v>4396</x:v>
      </x:c>
      <x:c r="H418" t="n">
        <x:v>131540.22</x:v>
      </x:c>
      <x:c r="I418" t="str">
        <x:v>0.0</x:v>
      </x:c>
      <x:c r="J418" t="n">
        <x:v>6041</x:v>
      </x:c>
      <x:c r="K418" t="n">
        <x:v>0</x:v>
      </x:c>
    </x:row>
    <x:row r="419">
      <x:c r="A419" t="str">
        <x:v>P0417</x:v>
      </x:c>
      <x:c r="B419" t="str">
        <x:v>Beverages</x:v>
      </x:c>
      <x:c r="C419" t="str">
        <x:v>SUP045</x:v>
      </x:c>
      <x:c r="D419" t="n">
        <x:v>36725.59</x:v>
      </x:c>
      <x:c r="E419" t="n">
        <x:v>40</x:v>
      </x:c>
      <x:c r="F419" t="n">
        <x:v>2</x:v>
      </x:c>
      <x:c r="G419" t="n">
        <x:v>2477</x:v>
      </x:c>
      <x:c r="H419" t="n">
        <x:v>72826.26</x:v>
      </x:c>
      <x:c r="I419" t="str">
        <x:v>0.0</x:v>
      </x:c>
      <x:c r="J419" t="n">
        <x:v>2814</x:v>
      </x:c>
      <x:c r="K419" t="n">
        <x:v>0</x:v>
      </x:c>
    </x:row>
    <x:row r="420">
      <x:c r="A420" t="str">
        <x:v>P0466</x:v>
      </x:c>
      <x:c r="B420" t="str">
        <x:v>Dry Grocery</x:v>
      </x:c>
      <x:c r="C420" t="str">
        <x:v>SUP054</x:v>
      </x:c>
      <x:c r="D420" t="n">
        <x:v>363481.65</x:v>
      </x:c>
      <x:c r="E420" t="n">
        <x:v>20</x:v>
      </x:c>
      <x:c r="F420" t="n">
        <x:v>1</x:v>
      </x:c>
      <x:c r="G420" t="n">
        <x:v>2435</x:v>
      </x:c>
      <x:c r="H420" t="n">
        <x:v>284180.5</x:v>
      </x:c>
      <x:c r="I420" t="str">
        <x:v>0.0</x:v>
      </x:c>
      <x:c r="J420" t="n">
        <x:v>484</x:v>
      </x:c>
      <x:c r="K420" t="n">
        <x:v>0</x:v>
      </x:c>
    </x:row>
    <x:row r="421">
      <x:c r="A421" t="str">
        <x:v>P0416</x:v>
      </x:c>
      <x:c r="B421" t="str">
        <x:v>Cleaning</x:v>
      </x:c>
      <x:c r="C421" t="str">
        <x:v>SUP030</x:v>
      </x:c>
      <x:c r="D421" t="n">
        <x:v>86211.17</x:v>
      </x:c>
      <x:c r="E421" t="n">
        <x:v>167</x:v>
      </x:c>
      <x:c r="F421" t="n">
        <x:v>10</x:v>
      </x:c>
      <x:c r="G421" t="n">
        <x:v>2518</x:v>
      </x:c>
      <x:c r="H421" t="n">
        <x:v>39884.35</x:v>
      </x:c>
      <x:c r="I421" t="str">
        <x:v>0.0</x:v>
      </x:c>
      <x:c r="J421" t="n">
        <x:v>60</x:v>
      </x:c>
      <x:c r="K421" t="n">
        <x:v>1</x:v>
      </x:c>
    </x:row>
    <x:row r="422">
      <x:c r="A422" t="str">
        <x:v>P0351</x:v>
      </x:c>
      <x:c r="B422" t="str">
        <x:v>Electrical</x:v>
      </x:c>
      <x:c r="C422" t="str">
        <x:v>SUP026</x:v>
      </x:c>
      <x:c r="D422" t="n">
        <x:v>296567.04</x:v>
      </x:c>
      <x:c r="E422" t="n">
        <x:v>946</x:v>
      </x:c>
      <x:c r="F422" t="n">
        <x:v>59</x:v>
      </x:c>
      <x:c r="G422" t="n">
        <x:v>3058</x:v>
      </x:c>
      <x:c r="H422" t="n">
        <x:v>134473.02</x:v>
      </x:c>
      <x:c r="I422" t="str">
        <x:v>0.0</x:v>
      </x:c>
      <x:c r="J422" t="n">
        <x:v>184</x:v>
      </x:c>
      <x:c r="K422" t="n">
        <x:v>1</x:v>
      </x:c>
    </x:row>
    <x:row r="423">
      <x:c r="A423" t="str">
        <x:v>P0443</x:v>
      </x:c>
      <x:c r="B423" t="str">
        <x:v>Household</x:v>
      </x:c>
      <x:c r="C423" t="str">
        <x:v>SUP033</x:v>
      </x:c>
      <x:c r="D423" t="n">
        <x:v>74168.03</x:v>
      </x:c>
      <x:c r="E423" t="n">
        <x:v>256</x:v>
      </x:c>
      <x:c r="F423" t="n">
        <x:v>18</x:v>
      </x:c>
      <x:c r="G423" t="n">
        <x:v>2679</x:v>
      </x:c>
      <x:c r="H423" t="n">
        <x:v>29025.45</x:v>
      </x:c>
      <x:c r="I423" t="str">
        <x:v>0.0</x:v>
      </x:c>
      <x:c r="J423" t="n">
        <x:v>98</x:v>
      </x:c>
      <x:c r="K423" t="n">
        <x:v>1</x:v>
      </x:c>
    </x:row>
    <x:row r="424">
      <x:c r="A424" t="str">
        <x:v>P0082</x:v>
      </x:c>
      <x:c r="B424" t="str">
        <x:v>Dry Grocery</x:v>
      </x:c>
      <x:c r="C424" t="str">
        <x:v>SUP049</x:v>
      </x:c>
      <x:c r="D424" t="n">
        <x:v>897337.92</x:v>
      </x:c>
      <x:c r="E424" t="n">
        <x:v>345</x:v>
      </x:c>
      <x:c r="F424" t="n">
        <x:v>28</x:v>
      </x:c>
      <x:c r="G424" t="n">
        <x:v>5256</x:v>
      </x:c>
      <x:c r="H424" t="n">
        <x:v>179435.48</x:v>
      </x:c>
      <x:c r="I424" t="str">
        <x:v>0.0</x:v>
      </x:c>
      <x:c r="J424" t="n">
        <x:v>0</x:v>
      </x:c>
      <x:c r="K424" t="n">
        <x:v>1</x:v>
      </x:c>
    </x:row>
    <x:row r="425">
      <x:c r="A425" t="str">
        <x:v>P0445</x:v>
      </x:c>
      <x:c r="B425" t="str">
        <x:v>Packaging</x:v>
      </x:c>
      <x:c r="C425" t="str">
        <x:v>SUP007</x:v>
      </x:c>
      <x:c r="D425" t="n">
        <x:v>195802.92</x:v>
      </x:c>
      <x:c r="E425" t="n">
        <x:v>90</x:v>
      </x:c>
      <x:c r="F425" t="n">
        <x:v>5</x:v>
      </x:c>
      <x:c r="G425" t="n">
        <x:v>2529</x:v>
      </x:c>
      <x:c r="H425" t="n">
        <x:v>141295.2</x:v>
      </x:c>
      <x:c r="I425" t="str">
        <x:v>0.0</x:v>
      </x:c>
      <x:c r="J425" t="n">
        <x:v>899</x:v>
      </x:c>
      <x:c r="K425" t="n">
        <x:v>0</x:v>
      </x:c>
    </x:row>
    <x:row r="426">
      <x:c r="A426" t="str">
        <x:v>P0201</x:v>
      </x:c>
      <x:c r="B426" t="str">
        <x:v>Beverages</x:v>
      </x:c>
      <x:c r="C426" t="str">
        <x:v>SUP029</x:v>
      </x:c>
      <x:c r="D426" t="n">
        <x:v>176266.7</x:v>
      </x:c>
      <x:c r="E426" t="n">
        <x:v>142</x:v>
      </x:c>
      <x:c r="F426" t="n">
        <x:v>19</x:v>
      </x:c>
      <x:c r="G426" t="n">
        <x:v>3605</x:v>
      </x:c>
      <x:c r="H426" t="n">
        <x:v>92457.5</x:v>
      </x:c>
      <x:c r="I426" t="str">
        <x:v>0.0</x:v>
      </x:c>
      <x:c r="J426" t="n">
        <x:v>985</x:v>
      </x:c>
      <x:c r="K426" t="n">
        <x:v>0</x:v>
      </x:c>
    </x:row>
    <x:row r="427">
      <x:c r="A427" t="str">
        <x:v>P0127</x:v>
      </x:c>
      <x:c r="B427" t="str">
        <x:v>Electrical</x:v>
      </x:c>
      <x:c r="C427" t="str">
        <x:v>SUP025</x:v>
      </x:c>
      <x:c r="D427" t="n">
        <x:v>256377.66</x:v>
      </x:c>
      <x:c r="E427" t="n">
        <x:v>173</x:v>
      </x:c>
      <x:c r="F427" t="n">
        <x:v>12</x:v>
      </x:c>
      <x:c r="G427" t="n">
        <x:v>4604</x:v>
      </x:c>
      <x:c r="H427" t="n">
        <x:v>244508</x:v>
      </x:c>
      <x:c r="I427" t="str">
        <x:v>0.0</x:v>
      </x:c>
      <x:c r="J427" t="n">
        <x:v>4157</x:v>
      </x:c>
      <x:c r="K427" t="n">
        <x:v>0</x:v>
      </x:c>
    </x:row>
    <x:row r="428">
      <x:c r="A428" t="str">
        <x:v>P0394</x:v>
      </x:c>
      <x:c r="B428" t="str">
        <x:v>Dry Grocery</x:v>
      </x:c>
      <x:c r="C428" t="str">
        <x:v>SUP042</x:v>
      </x:c>
      <x:c r="D428" t="n">
        <x:v>312990.72</x:v>
      </x:c>
      <x:c r="E428" t="n">
        <x:v>600</x:v>
      </x:c>
      <x:c r="F428" t="n">
        <x:v>42</x:v>
      </x:c>
      <x:c r="G428" t="n">
        <x:v>2896</x:v>
      </x:c>
      <x:c r="H428" t="n">
        <x:v>74890.4</x:v>
      </x:c>
      <x:c r="I428" t="n">
        <x:v>25589.2</x:v>
      </x:c>
      <x:c r="J428" t="n">
        <x:v>0</x:v>
      </x:c>
      <x:c r="K428" t="n">
        <x:v>1</x:v>
      </x:c>
    </x:row>
    <x:row r="429">
      <x:c r="A429" t="str">
        <x:v>P0252</x:v>
      </x:c>
      <x:c r="B429" t="str">
        <x:v>Personal Care</x:v>
      </x:c>
      <x:c r="C429" t="str">
        <x:v>SUP045</x:v>
      </x:c>
      <x:c r="D429" t="n">
        <x:v>440960</x:v>
      </x:c>
      <x:c r="E429" t="n">
        <x:v>110</x:v>
      </x:c>
      <x:c r="F429" t="n">
        <x:v>7</x:v>
      </x:c>
      <x:c r="G429" t="n">
        <x:v>3555</x:v>
      </x:c>
      <x:c r="H429" t="n">
        <x:v>506082.64</x:v>
      </x:c>
      <x:c r="I429" t="str">
        <x:v>0.0</x:v>
      </x:c>
      <x:c r="J429" t="n">
        <x:v>4347</x:v>
      </x:c>
      <x:c r="K429" t="n">
        <x:v>0</x:v>
      </x:c>
    </x:row>
    <x:row r="430">
      <x:c r="A430" t="str">
        <x:v>P0168</x:v>
      </x:c>
      <x:c r="B430" t="str">
        <x:v>Cleaning</x:v>
      </x:c>
      <x:c r="C430" t="str">
        <x:v>SUP038</x:v>
      </x:c>
      <x:c r="D430" t="n">
        <x:v>59168.05</x:v>
      </x:c>
      <x:c r="E430" t="n">
        <x:v>541</x:v>
      </x:c>
      <x:c r="F430" t="n">
        <x:v>39</x:v>
      </x:c>
      <x:c r="G430" t="n">
        <x:v>4274</x:v>
      </x:c>
      <x:c r="H430" t="n">
        <x:v>12127.2</x:v>
      </x:c>
      <x:c r="I430" t="str">
        <x:v>0.0</x:v>
      </x:c>
      <x:c r="J430" t="n">
        <x:v>263</x:v>
      </x:c>
      <x:c r="K430" t="n">
        <x:v>1</x:v>
      </x:c>
    </x:row>
    <x:row r="431">
      <x:c r="A431" t="str">
        <x:v>P0399</x:v>
      </x:c>
      <x:c r="B431" t="str">
        <x:v>Electrical</x:v>
      </x:c>
      <x:c r="C431" t="str">
        <x:v>SUP006</x:v>
      </x:c>
      <x:c r="D431" t="n">
        <x:v>235677.4</x:v>
      </x:c>
      <x:c r="E431" t="n">
        <x:v>49</x:v>
      </x:c>
      <x:c r="F431" t="n">
        <x:v>7</x:v>
      </x:c>
      <x:c r="G431" t="n">
        <x:v>2420</x:v>
      </x:c>
      <x:c r="H431" t="n">
        <x:v>226812.96</x:v>
      </x:c>
      <x:c r="I431" t="str">
        <x:v>0.0</x:v>
      </x:c>
      <x:c r="J431" t="n">
        <x:v>1198</x:v>
      </x:c>
      <x:c r="K431" t="n">
        <x:v>0</x:v>
      </x:c>
    </x:row>
    <x:row r="432">
      <x:c r="A432" t="str">
        <x:v>P0182</x:v>
      </x:c>
      <x:c r="B432" t="str">
        <x:v>Hardware</x:v>
      </x:c>
      <x:c r="C432" t="str">
        <x:v>SUP061</x:v>
      </x:c>
      <x:c r="D432" t="n">
        <x:v>317873.61</x:v>
      </x:c>
      <x:c r="E432" t="n">
        <x:v>113</x:v>
      </x:c>
      <x:c r="F432" t="n">
        <x:v>9</x:v>
      </x:c>
      <x:c r="G432" t="n">
        <x:v>4122</x:v>
      </x:c>
      <x:c r="H432" t="n">
        <x:v>251605.51</x:v>
      </x:c>
      <x:c r="I432" t="str">
        <x:v>0.0</x:v>
      </x:c>
      <x:c r="J432" t="n">
        <x:v>1841</x:v>
      </x:c>
      <x:c r="K432" t="n">
        <x:v>0</x:v>
      </x:c>
    </x:row>
    <x:row r="433">
      <x:c r="A433" t="str">
        <x:v>P0444</x:v>
      </x:c>
      <x:c r="B433" t="str">
        <x:v>Personal Care</x:v>
      </x:c>
      <x:c r="C433" t="str">
        <x:v>SUP021</x:v>
      </x:c>
      <x:c r="D433" t="n">
        <x:v>467882.98</x:v>
      </x:c>
      <x:c r="E433" t="n">
        <x:v>300</x:v>
      </x:c>
      <x:c r="F433" t="n">
        <x:v>21</x:v>
      </x:c>
      <x:c r="G433" t="n">
        <x:v>2719</x:v>
      </x:c>
      <x:c r="H433" t="n">
        <x:v>206641.22</x:v>
      </x:c>
      <x:c r="I433" t="str">
        <x:v>0.0</x:v>
      </x:c>
      <x:c r="J433" t="n">
        <x:v>455</x:v>
      </x:c>
      <x:c r="K433" t="n">
        <x:v>0</x:v>
      </x:c>
    </x:row>
    <x:row r="434">
      <x:c r="A434" t="str">
        <x:v>P0333</x:v>
      </x:c>
      <x:c r="B434" t="str">
        <x:v>Packaging</x:v>
      </x:c>
      <x:c r="C434" t="str">
        <x:v>SUP056</x:v>
      </x:c>
      <x:c r="D434" t="n">
        <x:v>132273.9</x:v>
      </x:c>
      <x:c r="E434" t="n">
        <x:v>78</x:v>
      </x:c>
      <x:c r="F434" t="n">
        <x:v>5</x:v>
      </x:c>
      <x:c r="G434" t="n">
        <x:v>2868</x:v>
      </x:c>
      <x:c r="H434" t="n">
        <x:v>429118.56</x:v>
      </x:c>
      <x:c r="I434" t="str">
        <x:v>0.0</x:v>
      </x:c>
      <x:c r="J434" t="n">
        <x:v>10206</x:v>
      </x:c>
      <x:c r="K434" t="n">
        <x:v>0</x:v>
      </x:c>
    </x:row>
    <x:row r="435">
      <x:c r="A435" t="str">
        <x:v>P0364</x:v>
      </x:c>
      <x:c r="B435" t="str">
        <x:v>Personal Care</x:v>
      </x:c>
      <x:c r="C435" t="str">
        <x:v>SUP028</x:v>
      </x:c>
      <x:c r="D435" t="n">
        <x:v>455702.9</x:v>
      </x:c>
      <x:c r="E435" t="n">
        <x:v>122</x:v>
      </x:c>
      <x:c r="F435" t="n">
        <x:v>8</x:v>
      </x:c>
      <x:c r="G435" t="n">
        <x:v>3052</x:v>
      </x:c>
      <x:c r="H435" t="n">
        <x:v>599860.06</x:v>
      </x:c>
      <x:c r="I435" t="str">
        <x:v>0.0</x:v>
      </x:c>
      <x:c r="J435" t="n">
        <x:v>3541</x:v>
      </x:c>
      <x:c r="K435" t="n">
        <x:v>0</x:v>
      </x:c>
    </x:row>
    <x:row r="436">
      <x:c r="A436" t="str">
        <x:v>P0314</x:v>
      </x:c>
      <x:c r="B436" t="str">
        <x:v>Dry Grocery</x:v>
      </x:c>
      <x:c r="C436" t="str">
        <x:v>SUP063</x:v>
      </x:c>
      <x:c r="D436" t="n">
        <x:v>381463.04</x:v>
      </x:c>
      <x:c r="E436" t="n">
        <x:v>50</x:v>
      </x:c>
      <x:c r="F436" t="n">
        <x:v>5</x:v>
      </x:c>
      <x:c r="G436" t="n">
        <x:v>3091</x:v>
      </x:c>
      <x:c r="H436" t="n">
        <x:v>368077.6</x:v>
      </x:c>
      <x:c r="I436" t="str">
        <x:v>0.0</x:v>
      </x:c>
      <x:c r="J436" t="n">
        <x:v>2712</x:v>
      </x:c>
      <x:c r="K436" t="n">
        <x:v>0</x:v>
      </x:c>
    </x:row>
    <x:row r="437">
      <x:c r="A437" t="str">
        <x:v>P0384</x:v>
      </x:c>
      <x:c r="B437" t="str">
        <x:v>Cleaning</x:v>
      </x:c>
      <x:c r="C437" t="str">
        <x:v>SUP004</x:v>
      </x:c>
      <x:c r="D437" t="n">
        <x:v>461742.06</x:v>
      </x:c>
      <x:c r="E437" t="n">
        <x:v>144</x:v>
      </x:c>
      <x:c r="F437" t="n">
        <x:v>7</x:v>
      </x:c>
      <x:c r="G437" t="n">
        <x:v>2406</x:v>
      </x:c>
      <x:c r="H437" t="n">
        <x:v>235656.74</x:v>
      </x:c>
      <x:c r="I437" t="str">
        <x:v>0.0</x:v>
      </x:c>
      <x:c r="J437" t="n">
        <x:v>357</x:v>
      </x:c>
      <x:c r="K437" t="n">
        <x:v>0</x:v>
      </x:c>
    </x:row>
    <x:row r="438">
      <x:c r="A438" t="str">
        <x:v>P0388</x:v>
      </x:c>
      <x:c r="B438" t="str">
        <x:v>Personal Care</x:v>
      </x:c>
      <x:c r="C438" t="str">
        <x:v>SUP014</x:v>
      </x:c>
      <x:c r="D438" t="n">
        <x:v>336132</x:v>
      </x:c>
      <x:c r="E438" t="n">
        <x:v>561</x:v>
      </x:c>
      <x:c r="F438" t="n">
        <x:v>37</x:v>
      </x:c>
      <x:c r="G438" t="n">
        <x:v>2361</x:v>
      </x:c>
      <x:c r="H438" t="n">
        <x:v>45580.08</x:v>
      </x:c>
      <x:c r="I438" t="str">
        <x:v>0.0</x:v>
      </x:c>
      <x:c r="J438" t="n">
        <x:v>0</x:v>
      </x:c>
      <x:c r="K438" t="n">
        <x:v>2</x:v>
      </x:c>
    </x:row>
    <x:row r="439">
      <x:c r="A439" t="str">
        <x:v>P0206</x:v>
      </x:c>
      <x:c r="B439" t="str">
        <x:v>Hardware</x:v>
      </x:c>
      <x:c r="C439" t="str">
        <x:v>SUP042</x:v>
      </x:c>
      <x:c r="D439" t="n">
        <x:v>370938.8</x:v>
      </x:c>
      <x:c r="E439" t="n">
        <x:v>929</x:v>
      </x:c>
      <x:c r="F439" t="n">
        <x:v>66</x:v>
      </x:c>
      <x:c r="G439" t="n">
        <x:v>3609</x:v>
      </x:c>
      <x:c r="H439" t="n">
        <x:v>129811.57</x:v>
      </x:c>
      <x:c r="I439" t="str">
        <x:v>0.0</x:v>
      </x:c>
      <x:c r="J439" t="n">
        <x:v>189</x:v>
      </x:c>
      <x:c r="K439" t="n">
        <x:v>2</x:v>
      </x:c>
    </x:row>
    <x:row r="440">
      <x:c r="A440" t="str">
        <x:v>P0421</x:v>
      </x:c>
      <x:c r="B440" t="str">
        <x:v>Packaging</x:v>
      </x:c>
      <x:c r="C440" t="str">
        <x:v>SUP009</x:v>
      </x:c>
      <x:c r="D440" t="n">
        <x:v>466337.92</x:v>
      </x:c>
      <x:c r="E440" t="n">
        <x:v>123</x:v>
      </x:c>
      <x:c r="F440" t="n">
        <x:v>6</x:v>
      </x:c>
      <x:c r="G440" t="n">
        <x:v>3026</x:v>
      </x:c>
      <x:c r="H440" t="n">
        <x:v>377768.05</x:v>
      </x:c>
      <x:c r="I440" t="str">
        <x:v>0.0</x:v>
      </x:c>
      <x:c r="J440" t="n">
        <x:v>2163</x:v>
      </x:c>
      <x:c r="K440" t="n">
        <x:v>0</x:v>
      </x:c>
    </x:row>
    <x:row r="441">
      <x:c r="A441" t="str">
        <x:v>P0199</x:v>
      </x:c>
      <x:c r="B441" t="str">
        <x:v>Electrical</x:v>
      </x:c>
      <x:c r="C441" t="str">
        <x:v>SUP012</x:v>
      </x:c>
      <x:c r="D441" t="n">
        <x:v>654602.82</x:v>
      </x:c>
      <x:c r="E441" t="n">
        <x:v>180</x:v>
      </x:c>
      <x:c r="F441" t="n">
        <x:v>9</x:v>
      </x:c>
      <x:c r="G441" t="n">
        <x:v>3714</x:v>
      </x:c>
      <x:c r="H441" t="n">
        <x:v>495864.66</x:v>
      </x:c>
      <x:c r="I441" t="str">
        <x:v>0.0</x:v>
      </x:c>
      <x:c r="J441" t="n">
        <x:v>1830</x:v>
      </x:c>
      <x:c r="K441" t="n">
        <x:v>0</x:v>
      </x:c>
    </x:row>
    <x:row r="442">
      <x:c r="A442" t="str">
        <x:v>P0387</x:v>
      </x:c>
      <x:c r="B442" t="str">
        <x:v>Household</x:v>
      </x:c>
      <x:c r="C442" t="str">
        <x:v>SUP018</x:v>
      </x:c>
      <x:c r="D442" t="n">
        <x:v>253272.79</x:v>
      </x:c>
      <x:c r="E442" t="n">
        <x:v>600</x:v>
      </x:c>
      <x:c r="F442" t="n">
        <x:v>45</x:v>
      </x:c>
      <x:c r="G442" t="n">
        <x:v>2941</x:v>
      </x:c>
      <x:c r="H442" t="n">
        <x:v>69409.47</x:v>
      </x:c>
      <x:c r="I442" t="n">
        <x:v>13036.66</x:v>
      </x:c>
      <x:c r="J442" t="n">
        <x:v>192</x:v>
      </x:c>
      <x:c r="K442" t="n">
        <x:v>1</x:v>
      </x:c>
    </x:row>
    <x:row r="443">
      <x:c r="A443" t="str">
        <x:v>P0393</x:v>
      </x:c>
      <x:c r="B443" t="str">
        <x:v>Beverages</x:v>
      </x:c>
      <x:c r="C443" t="str">
        <x:v>SUP003</x:v>
      </x:c>
      <x:c r="D443" t="n">
        <x:v>55313.06</x:v>
      </x:c>
      <x:c r="E443" t="n">
        <x:v>31</x:v>
      </x:c>
      <x:c r="F443" t="n">
        <x:v>4</x:v>
      </x:c>
      <x:c r="G443" t="n">
        <x:v>2472</x:v>
      </x:c>
      <x:c r="H443" t="n">
        <x:v>18277.05</x:v>
      </x:c>
      <x:c r="I443" t="str">
        <x:v>0.0</x:v>
      </x:c>
      <x:c r="J443" t="n">
        <x:v>0</x:v>
      </x:c>
      <x:c r="K443" t="n">
        <x:v>0</x:v>
      </x:c>
    </x:row>
    <x:row r="444">
      <x:c r="A444" t="str">
        <x:v>P0267</x:v>
      </x:c>
      <x:c r="B444" t="str">
        <x:v>Household</x:v>
      </x:c>
      <x:c r="C444" t="str">
        <x:v>SUP021</x:v>
      </x:c>
      <x:c r="D444" t="n">
        <x:v>691958.78</x:v>
      </x:c>
      <x:c r="E444" t="n">
        <x:v>130</x:v>
      </x:c>
      <x:c r="F444" t="n">
        <x:v>6</x:v>
      </x:c>
      <x:c r="G444" t="n">
        <x:v>3477</x:v>
      </x:c>
      <x:c r="H444" t="n">
        <x:v>291212.58</x:v>
      </x:c>
      <x:c r="I444" t="str">
        <x:v>0.0</x:v>
      </x:c>
      <x:c r="J444" t="n">
        <x:v>264</x:v>
      </x:c>
      <x:c r="K444" t="n">
        <x:v>0</x:v>
      </x:c>
    </x:row>
    <x:row r="445">
      <x:c r="A445" t="str">
        <x:v>P0450</x:v>
      </x:c>
      <x:c r="B445" t="str">
        <x:v>Dry Grocery</x:v>
      </x:c>
      <x:c r="C445" t="str">
        <x:v>SUP030</x:v>
      </x:c>
      <x:c r="D445" t="n">
        <x:v>84617.5</x:v>
      </x:c>
      <x:c r="E445" t="n">
        <x:v>276</x:v>
      </x:c>
      <x:c r="F445" t="n">
        <x:v>21</x:v>
      </x:c>
      <x:c r="G445" t="n">
        <x:v>2267</x:v>
      </x:c>
      <x:c r="H445" t="n">
        <x:v>24030.63</x:v>
      </x:c>
      <x:c r="I445" t="str">
        <x:v>0.0</x:v>
      </x:c>
      <x:c r="J445" t="n">
        <x:v>0</x:v>
      </x:c>
      <x:c r="K445" t="n">
        <x:v>0</x:v>
      </x:c>
    </x:row>
    <x:row r="446">
      <x:c r="A446" t="str">
        <x:v>P0303</x:v>
      </x:c>
      <x:c r="B446" t="str">
        <x:v>Electrical</x:v>
      </x:c>
      <x:c r="C446" t="str">
        <x:v>SUP015</x:v>
      </x:c>
      <x:c r="D446" t="n">
        <x:v>364230</x:v>
      </x:c>
      <x:c r="E446" t="n">
        <x:v>118</x:v>
      </x:c>
      <x:c r="F446" t="n">
        <x:v>11</x:v>
      </x:c>
      <x:c r="G446" t="n">
        <x:v>2816</x:v>
      </x:c>
      <x:c r="H446" t="n">
        <x:v>880891.04</x:v>
      </x:c>
      <x:c r="I446" t="str">
        <x:v>0.0</x:v>
      </x:c>
      <x:c r="J446" t="n">
        <x:v>6485</x:v>
      </x:c>
      <x:c r="K446" t="n">
        <x:v>0</x:v>
      </x:c>
    </x:row>
    <x:row r="447">
      <x:c r="A447" t="str">
        <x:v>P0337</x:v>
      </x:c>
      <x:c r="B447" t="str">
        <x:v>Beverages</x:v>
      </x:c>
      <x:c r="C447" t="str">
        <x:v>SUP001</x:v>
      </x:c>
      <x:c r="D447" t="n">
        <x:v>339907.32</x:v>
      </x:c>
      <x:c r="E447" t="n">
        <x:v>327</x:v>
      </x:c>
      <x:c r="F447" t="n">
        <x:v>16</x:v>
      </x:c>
      <x:c r="G447" t="n">
        <x:v>3048</x:v>
      </x:c>
      <x:c r="H447" t="n">
        <x:v>171282.6</x:v>
      </x:c>
      <x:c r="I447" t="str">
        <x:v>0.0</x:v>
      </x:c>
      <x:c r="J447" t="n">
        <x:v>376</x:v>
      </x:c>
      <x:c r="K447" t="n">
        <x:v>0</x:v>
      </x:c>
    </x:row>
    <x:row r="448">
      <x:c r="A448" t="str">
        <x:v>P0423</x:v>
      </x:c>
      <x:c r="B448" t="str">
        <x:v>Electrical</x:v>
      </x:c>
      <x:c r="C448" t="str">
        <x:v>SUP039</x:v>
      </x:c>
      <x:c r="D448" t="n">
        <x:v>389997.3</x:v>
      </x:c>
      <x:c r="E448" t="n">
        <x:v>31</x:v>
      </x:c>
      <x:c r="F448" t="n">
        <x:v>2</x:v>
      </x:c>
      <x:c r="G448" t="n">
        <x:v>2341</x:v>
      </x:c>
      <x:c r="H448" t="n">
        <x:v>648543.54</x:v>
      </x:c>
      <x:c r="I448" t="n">
        <x:v>115075.38</x:v>
      </x:c>
      <x:c r="J448" t="n">
        <x:v>3612</x:v>
      </x:c>
      <x:c r="K448" t="n">
        <x:v>0</x:v>
      </x:c>
    </x:row>
    <x:row r="449">
      <x:c r="A449" t="str">
        <x:v>P0123</x:v>
      </x:c>
      <x:c r="B449" t="str">
        <x:v>Household</x:v>
      </x:c>
      <x:c r="C449" t="str">
        <x:v>SUP042</x:v>
      </x:c>
      <x:c r="D449" t="n">
        <x:v>294029.25</x:v>
      </x:c>
      <x:c r="E449" t="n">
        <x:v>221</x:v>
      </x:c>
      <x:c r="F449" t="n">
        <x:v>21</x:v>
      </x:c>
      <x:c r="G449" t="n">
        <x:v>4826</x:v>
      </x:c>
      <x:c r="H449" t="n">
        <x:v>105652</x:v>
      </x:c>
      <x:c r="I449" t="str">
        <x:v>0.0</x:v>
      </x:c>
      <x:c r="J449" t="n">
        <x:v>189</x:v>
      </x:c>
      <x:c r="K449" t="n">
        <x:v>0</x:v>
      </x:c>
    </x:row>
    <x:row r="450">
      <x:c r="A450" t="str">
        <x:v>P0345</x:v>
      </x:c>
      <x:c r="B450" t="str">
        <x:v>Beverages</x:v>
      </x:c>
      <x:c r="C450" t="str">
        <x:v>SUP006</x:v>
      </x:c>
      <x:c r="D450" t="n">
        <x:v>88905.78</x:v>
      </x:c>
      <x:c r="E450" t="n">
        <x:v>109</x:v>
      </x:c>
      <x:c r="F450" t="n">
        <x:v>7</x:v>
      </x:c>
      <x:c r="G450" t="n">
        <x:v>3380</x:v>
      </x:c>
      <x:c r="H450" t="n">
        <x:v>47836.98</x:v>
      </x:c>
      <x:c r="I450" t="str">
        <x:v>0.0</x:v>
      </x:c>
      <x:c r="J450" t="n">
        <x:v>784</x:v>
      </x:c>
      <x:c r="K450" t="n">
        <x:v>0</x:v>
      </x:c>
    </x:row>
    <x:row r="451">
      <x:c r="A451" t="str">
        <x:v>P0434</x:v>
      </x:c>
      <x:c r="B451" t="str">
        <x:v>Dry Grocery</x:v>
      </x:c>
      <x:c r="C451" t="str">
        <x:v>SUP039</x:v>
      </x:c>
      <x:c r="D451" t="n">
        <x:v>359304.28</x:v>
      </x:c>
      <x:c r="E451" t="n">
        <x:v>94</x:v>
      </x:c>
      <x:c r="F451" t="n">
        <x:v>8</x:v>
      </x:c>
      <x:c r="G451" t="n">
        <x:v>2556</x:v>
      </x:c>
      <x:c r="H451" t="n">
        <x:v>544549.95</x:v>
      </x:c>
      <x:c r="I451" t="str">
        <x:v>0.0</x:v>
      </x:c>
      <x:c r="J451" t="n">
        <x:v>3215</x:v>
      </x:c>
      <x:c r="K451" t="n">
        <x:v>0</x:v>
      </x:c>
    </x:row>
    <x:row r="452">
      <x:c r="A452" t="str">
        <x:v>P0365</x:v>
      </x:c>
      <x:c r="B452" t="str">
        <x:v>Packaging</x:v>
      </x:c>
      <x:c r="C452" t="str">
        <x:v>SUP025</x:v>
      </x:c>
      <x:c r="D452" t="n">
        <x:v>82612.75</x:v>
      </x:c>
      <x:c r="E452" t="n">
        <x:v>27</x:v>
      </x:c>
      <x:c r="F452" t="n">
        <x:v>4</x:v>
      </x:c>
      <x:c r="G452" t="n">
        <x:v>2758</x:v>
      </x:c>
      <x:c r="H452" t="n">
        <x:v>73592.32</x:v>
      </x:c>
      <x:c r="I452" t="str">
        <x:v>0.0</x:v>
      </x:c>
      <x:c r="J452" t="n">
        <x:v>1199</x:v>
      </x:c>
      <x:c r="K452" t="n">
        <x:v>0</x:v>
      </x:c>
    </x:row>
    <x:row r="453">
      <x:c r="A453" t="str">
        <x:v>P0217</x:v>
      </x:c>
      <x:c r="B453" t="str">
        <x:v>Beverages</x:v>
      </x:c>
      <x:c r="C453" t="str">
        <x:v>SUP050</x:v>
      </x:c>
      <x:c r="D453" t="n">
        <x:v>406871.71</x:v>
      </x:c>
      <x:c r="E453" t="n">
        <x:v>442</x:v>
      </x:c>
      <x:c r="F453" t="n">
        <x:v>23</x:v>
      </x:c>
      <x:c r="G453" t="n">
        <x:v>3519</x:v>
      </x:c>
      <x:c r="H453" t="n">
        <x:v>134219.07</x:v>
      </x:c>
      <x:c r="I453" t="str">
        <x:v>0.0</x:v>
      </x:c>
      <x:c r="J453" t="n">
        <x:v>0</x:v>
      </x:c>
      <x:c r="K453" t="n">
        <x:v>0</x:v>
      </x:c>
    </x:row>
    <x:row r="454">
      <x:c r="A454" t="str">
        <x:v>P0291</x:v>
      </x:c>
      <x:c r="B454" t="str">
        <x:v>Household</x:v>
      </x:c>
      <x:c r="C454" t="str">
        <x:v>SUP026</x:v>
      </x:c>
      <x:c r="D454" t="n">
        <x:v>248277.9</x:v>
      </x:c>
      <x:c r="E454" t="n">
        <x:v>845</x:v>
      </x:c>
      <x:c r="F454" t="n">
        <x:v>66</x:v>
      </x:c>
      <x:c r="G454" t="n">
        <x:v>3146</x:v>
      </x:c>
      <x:c r="H454" t="n">
        <x:v>67606.62</x:v>
      </x:c>
      <x:c r="I454" t="str">
        <x:v>0.0</x:v>
      </x:c>
      <x:c r="J454" t="n">
        <x:v>0</x:v>
      </x:c>
      <x:c r="K454" t="n">
        <x:v>1</x:v>
      </x:c>
    </x:row>
    <x:row r="455">
      <x:c r="A455" t="str">
        <x:v>P0169</x:v>
      </x:c>
      <x:c r="B455" t="str">
        <x:v>Beverages</x:v>
      </x:c>
      <x:c r="C455" t="str">
        <x:v>SUP026</x:v>
      </x:c>
      <x:c r="D455" t="n">
        <x:v>439961.41</x:v>
      </x:c>
      <x:c r="E455" t="n">
        <x:v>1333</x:v>
      </x:c>
      <x:c r="F455" t="n">
        <x:v>99</x:v>
      </x:c>
      <x:c r="G455" t="n">
        <x:v>4406</x:v>
      </x:c>
      <x:c r="H455" t="n">
        <x:v>4697.1</x:v>
      </x:c>
      <x:c r="I455" t="str">
        <x:v>0.0</x:v>
      </x:c>
      <x:c r="J455" t="n">
        <x:v>0</x:v>
      </x:c>
      <x:c r="K455" t="n">
        <x:v>4</x:v>
      </x:c>
    </x:row>
    <x:row r="456">
      <x:c r="A456" t="str">
        <x:v>P0266</x:v>
      </x:c>
      <x:c r="B456" t="str">
        <x:v>Dry Grocery</x:v>
      </x:c>
      <x:c r="C456" t="str">
        <x:v>SUP026</x:v>
      </x:c>
      <x:c r="D456" t="n">
        <x:v>211792.2</x:v>
      </x:c>
      <x:c r="E456" t="n">
        <x:v>706</x:v>
      </x:c>
      <x:c r="F456" t="n">
        <x:v>55</x:v>
      </x:c>
      <x:c r="G456" t="n">
        <x:v>3286</x:v>
      </x:c>
      <x:c r="H456" t="n">
        <x:v>16974.98</x:v>
      </x:c>
      <x:c r="I456" t="str">
        <x:v>0.0</x:v>
      </x:c>
      <x:c r="J456" t="n">
        <x:v>0</x:v>
      </x:c>
      <x:c r="K456" t="n">
        <x:v>1</x:v>
      </x:c>
    </x:row>
    <x:row r="457">
      <x:c r="A457" t="str">
        <x:v>P0186</x:v>
      </x:c>
      <x:c r="B457" t="str">
        <x:v>Dry Grocery</x:v>
      </x:c>
      <x:c r="C457" t="str">
        <x:v>SUP049</x:v>
      </x:c>
      <x:c r="D457" t="n">
        <x:v>357639.83</x:v>
      </x:c>
      <x:c r="E457" t="n">
        <x:v>598</x:v>
      </x:c>
      <x:c r="F457" t="n">
        <x:v>37</x:v>
      </x:c>
      <x:c r="G457" t="n">
        <x:v>3779</x:v>
      </x:c>
      <x:c r="H457" t="n">
        <x:v>190077.2</x:v>
      </x:c>
      <x:c r="I457" t="str">
        <x:v>0.0</x:v>
      </x:c>
      <x:c r="J457" t="n">
        <x:v>261</x:v>
      </x:c>
      <x:c r="K457" t="n">
        <x:v>0</x:v>
      </x:c>
    </x:row>
    <x:row r="458">
      <x:c r="A458" t="str">
        <x:v>P0296</x:v>
      </x:c>
      <x:c r="B458" t="str">
        <x:v>Cleaning</x:v>
      </x:c>
      <x:c r="C458" t="str">
        <x:v>SUP057</x:v>
      </x:c>
      <x:c r="D458" t="n">
        <x:v>127865.76</x:v>
      </x:c>
      <x:c r="E458" t="n">
        <x:v>404</x:v>
      </x:c>
      <x:c r="F458" t="n">
        <x:v>34</x:v>
      </x:c>
      <x:c r="G458" t="n">
        <x:v>2786</x:v>
      </x:c>
      <x:c r="H458" t="n">
        <x:v>34281.6</x:v>
      </x:c>
      <x:c r="I458" t="str">
        <x:v>0.0</x:v>
      </x:c>
      <x:c r="J458" t="n">
        <x:v>0</x:v>
      </x:c>
      <x:c r="K458" t="n">
        <x:v>1</x:v>
      </x:c>
    </x:row>
    <x:row r="459">
      <x:c r="A459" t="str">
        <x:v>P0305</x:v>
      </x:c>
      <x:c r="B459" t="str">
        <x:v>Beverages</x:v>
      </x:c>
      <x:c r="C459" t="str">
        <x:v>SUP058</x:v>
      </x:c>
      <x:c r="D459" t="n">
        <x:v>64974.29</x:v>
      </x:c>
      <x:c r="E459" t="n">
        <x:v>293</x:v>
      </x:c>
      <x:c r="F459" t="n">
        <x:v>27</x:v>
      </x:c>
      <x:c r="G459" t="n">
        <x:v>3144</x:v>
      </x:c>
      <x:c r="H459" t="n">
        <x:v>26321.26</x:v>
      </x:c>
      <x:c r="I459" t="str">
        <x:v>0.0</x:v>
      </x:c>
      <x:c r="J459" t="n">
        <x:v>252</x:v>
      </x:c>
      <x:c r="K459" t="n">
        <x:v>1</x:v>
      </x:c>
    </x:row>
    <x:row r="460">
      <x:c r="A460" t="str">
        <x:v>P0118</x:v>
      </x:c>
      <x:c r="B460" t="str">
        <x:v>Hardware</x:v>
      </x:c>
      <x:c r="C460" t="str">
        <x:v>SUP002</x:v>
      </x:c>
      <x:c r="D460" t="n">
        <x:v>155472.33</x:v>
      </x:c>
      <x:c r="E460" t="n">
        <x:v>384</x:v>
      </x:c>
      <x:c r="F460" t="n">
        <x:v>27</x:v>
      </x:c>
      <x:c r="G460" t="n">
        <x:v>4323</x:v>
      </x:c>
      <x:c r="H460" t="n">
        <x:v>28108.53</x:v>
      </x:c>
      <x:c r="I460" t="str">
        <x:v>0.0</x:v>
      </x:c>
      <x:c r="J460" t="n">
        <x:v>331</x:v>
      </x:c>
      <x:c r="K460" t="n">
        <x:v>0</x:v>
      </x:c>
    </x:row>
    <x:row r="461">
      <x:c r="A461" t="str">
        <x:v>P0432</x:v>
      </x:c>
      <x:c r="B461" t="str">
        <x:v>Cleaning</x:v>
      </x:c>
      <x:c r="C461" t="str">
        <x:v>SUP042</x:v>
      </x:c>
      <x:c r="D461" t="n">
        <x:v>35133.54</x:v>
      </x:c>
      <x:c r="E461" t="n">
        <x:v>500</x:v>
      </x:c>
      <x:c r="F461" t="n">
        <x:v>36</x:v>
      </x:c>
      <x:c r="G461" t="n">
        <x:v>2918</x:v>
      </x:c>
      <x:c r="H461" t="n">
        <x:v>4799.84</x:v>
      </x:c>
      <x:c r="I461" t="str">
        <x:v>0.0</x:v>
      </x:c>
      <x:c r="J461" t="n">
        <x:v>0</x:v>
      </x:c>
      <x:c r="K461" t="n">
        <x:v>2</x:v>
      </x:c>
    </x:row>
    <x:row r="462">
      <x:c r="A462" t="str">
        <x:v>P0280</x:v>
      </x:c>
      <x:c r="B462" t="str">
        <x:v>Cleaning</x:v>
      </x:c>
      <x:c r="C462" t="str">
        <x:v>SUP023</x:v>
      </x:c>
      <x:c r="D462" t="n">
        <x:v>432826.74</x:v>
      </x:c>
      <x:c r="E462" t="n">
        <x:v>551</x:v>
      </x:c>
      <x:c r="F462" t="n">
        <x:v>32</x:v>
      </x:c>
      <x:c r="G462" t="n">
        <x:v>3548</x:v>
      </x:c>
      <x:c r="H462" t="n">
        <x:v>117360.18</x:v>
      </x:c>
      <x:c r="I462" t="str">
        <x:v>0.0</x:v>
      </x:c>
      <x:c r="J462" t="n">
        <x:v>187</x:v>
      </x:c>
      <x:c r="K462" t="n">
        <x:v>3</x:v>
      </x:c>
    </x:row>
    <x:row r="463">
      <x:c r="A463" t="str">
        <x:v>P0380</x:v>
      </x:c>
      <x:c r="B463" t="str">
        <x:v>Personal Care</x:v>
      </x:c>
      <x:c r="C463" t="str">
        <x:v>SUP011</x:v>
      </x:c>
      <x:c r="D463" t="n">
        <x:v>534520</x:v>
      </x:c>
      <x:c r="E463" t="n">
        <x:v>113</x:v>
      </x:c>
      <x:c r="F463" t="n">
        <x:v>6</x:v>
      </x:c>
      <x:c r="G463" t="n">
        <x:v>3018</x:v>
      </x:c>
      <x:c r="H463" t="n">
        <x:v>484636.52</x:v>
      </x:c>
      <x:c r="I463" t="str">
        <x:v>0.0</x:v>
      </x:c>
      <x:c r="J463" t="n">
        <x:v>1214</x:v>
      </x:c>
      <x:c r="K463" t="n">
        <x:v>0</x:v>
      </x:c>
    </x:row>
    <x:row r="464">
      <x:c r="A464" t="str">
        <x:v>P0309</x:v>
      </x:c>
      <x:c r="B464" t="str">
        <x:v>Packaging</x:v>
      </x:c>
      <x:c r="C464" t="str">
        <x:v>SUP052</x:v>
      </x:c>
      <x:c r="D464" t="n">
        <x:v>492837.66</x:v>
      </x:c>
      <x:c r="E464" t="n">
        <x:v>617</x:v>
      </x:c>
      <x:c r="F464" t="n">
        <x:v>44</x:v>
      </x:c>
      <x:c r="G464" t="n">
        <x:v>3151</x:v>
      </x:c>
      <x:c r="H464" t="n">
        <x:v>174246</x:v>
      </x:c>
      <x:c r="I464" t="str">
        <x:v>0.0</x:v>
      </x:c>
      <x:c r="J464" t="n">
        <x:v>408</x:v>
      </x:c>
      <x:c r="K464" t="n">
        <x:v>1</x:v>
      </x:c>
    </x:row>
    <x:row r="465">
      <x:c r="A465" t="str">
        <x:v>P0408</x:v>
      </x:c>
      <x:c r="B465" t="str">
        <x:v>Cleaning</x:v>
      </x:c>
      <x:c r="C465" t="str">
        <x:v>SUP042</x:v>
      </x:c>
      <x:c r="D465" t="n">
        <x:v>197778.84</x:v>
      </x:c>
      <x:c r="E465" t="n">
        <x:v>316</x:v>
      </x:c>
      <x:c r="F465" t="n">
        <x:v>21</x:v>
      </x:c>
      <x:c r="G465" t="n">
        <x:v>2248</x:v>
      </x:c>
      <x:c r="H465" t="n">
        <x:v>89887.62</x:v>
      </x:c>
      <x:c r="I465" t="str">
        <x:v>0.0</x:v>
      </x:c>
      <x:c r="J465" t="n">
        <x:v>0</x:v>
      </x:c>
      <x:c r="K465" t="n">
        <x:v>1</x:v>
      </x:c>
    </x:row>
    <x:row r="466">
      <x:c r="A466" t="str">
        <x:v>P0370</x:v>
      </x:c>
      <x:c r="B466" t="str">
        <x:v>Dry Grocery</x:v>
      </x:c>
      <x:c r="C466" t="str">
        <x:v>SUP050</x:v>
      </x:c>
      <x:c r="D466" t="n">
        <x:v>108921.1</x:v>
      </x:c>
      <x:c r="E466" t="n">
        <x:v>115</x:v>
      </x:c>
      <x:c r="F466" t="n">
        <x:v>9</x:v>
      </x:c>
      <x:c r="G466" t="n">
        <x:v>2760</x:v>
      </x:c>
      <x:c r="H466" t="n">
        <x:v>47411.52</x:v>
      </x:c>
      <x:c r="I466" t="n">
        <x:v>8520.24</x:v>
      </x:c>
      <x:c r="J466" t="n">
        <x:v>553</x:v>
      </x:c>
      <x:c r="K466" t="n">
        <x:v>0</x:v>
      </x:c>
    </x:row>
    <x:row r="467">
      <x:c r="A467" t="str">
        <x:v>P0414</x:v>
      </x:c>
      <x:c r="B467" t="str">
        <x:v>Hardware</x:v>
      </x:c>
      <x:c r="C467" t="str">
        <x:v>SUP003</x:v>
      </x:c>
      <x:c r="D467" t="n">
        <x:v>164079.52</x:v>
      </x:c>
      <x:c r="E467" t="n">
        <x:v>494</x:v>
      </x:c>
      <x:c r="F467" t="n">
        <x:v>35</x:v>
      </x:c>
      <x:c r="G467" t="n">
        <x:v>2826</x:v>
      </x:c>
      <x:c r="H467" t="n">
        <x:v>43236.72</x:v>
      </x:c>
      <x:c r="I467" t="str">
        <x:v>0.0</x:v>
      </x:c>
      <x:c r="J467" t="n">
        <x:v>166</x:v>
      </x:c>
      <x:c r="K467" t="n">
        <x:v>1</x:v>
      </x:c>
    </x:row>
    <x:row r="468">
      <x:c r="A468" t="str">
        <x:v>P0459</x:v>
      </x:c>
      <x:c r="B468" t="str">
        <x:v>Household</x:v>
      </x:c>
      <x:c r="C468" t="str">
        <x:v>SUP059</x:v>
      </x:c>
      <x:c r="D468" t="n">
        <x:v>292352.05</x:v>
      </x:c>
      <x:c r="E468" t="n">
        <x:v>91</x:v>
      </x:c>
      <x:c r="F468" t="n">
        <x:v>6</x:v>
      </x:c>
      <x:c r="G468" t="n">
        <x:v>2286</x:v>
      </x:c>
      <x:c r="H468" t="n">
        <x:v>358443.93</x:v>
      </x:c>
      <x:c r="I468" t="str">
        <x:v>0.0</x:v>
      </x:c>
      <x:c r="J468" t="n">
        <x:v>1970</x:v>
      </x:c>
      <x:c r="K468" t="n">
        <x:v>0</x:v>
      </x:c>
    </x:row>
    <x:row r="469">
      <x:c r="A469" t="str">
        <x:v>P0368</x:v>
      </x:c>
      <x:c r="B469" t="str">
        <x:v>Cleaning</x:v>
      </x:c>
      <x:c r="C469" t="str">
        <x:v>SUP002</x:v>
      </x:c>
      <x:c r="D469" t="n">
        <x:v>99908.28</x:v>
      </x:c>
      <x:c r="E469" t="n">
        <x:v>120</x:v>
      </x:c>
      <x:c r="F469" t="n">
        <x:v>8</x:v>
      </x:c>
      <x:c r="G469" t="n">
        <x:v>3026</x:v>
      </x:c>
      <x:c r="H469" t="n">
        <x:v>41887.65</x:v>
      </x:c>
      <x:c r="I469" t="str">
        <x:v>0.0</x:v>
      </x:c>
      <x:c r="J469" t="n">
        <x:v>139</x:v>
      </x:c>
      <x:c r="K469" t="n">
        <x:v>0</x:v>
      </x:c>
    </x:row>
    <x:row r="470">
      <x:c r="A470" t="str">
        <x:v>P0373</x:v>
      </x:c>
      <x:c r="B470" t="str">
        <x:v>Packaging</x:v>
      </x:c>
      <x:c r="C470" t="str">
        <x:v>SUP056</x:v>
      </x:c>
      <x:c r="D470" t="n">
        <x:v>257911.2</x:v>
      </x:c>
      <x:c r="E470" t="n">
        <x:v>133</x:v>
      </x:c>
      <x:c r="F470" t="n">
        <x:v>6</x:v>
      </x:c>
      <x:c r="G470" t="n">
        <x:v>2669</x:v>
      </x:c>
      <x:c r="H470" t="n">
        <x:v>973359.18</x:v>
      </x:c>
      <x:c r="I470" t="str">
        <x:v>0.0</x:v>
      </x:c>
      <x:c r="J470" t="n">
        <x:v>10197</x:v>
      </x:c>
      <x:c r="K470" t="n">
        <x:v>0</x:v>
      </x:c>
    </x:row>
    <x:row r="471">
      <x:c r="A471" t="str">
        <x:v>P0253</x:v>
      </x:c>
      <x:c r="B471" t="str">
        <x:v>Packaging</x:v>
      </x:c>
      <x:c r="C471" t="str">
        <x:v>SUP022</x:v>
      </x:c>
      <x:c r="D471" t="n">
        <x:v>409971.38</x:v>
      </x:c>
      <x:c r="E471" t="n">
        <x:v>768</x:v>
      </x:c>
      <x:c r="F471" t="n">
        <x:v>56</x:v>
      </x:c>
      <x:c r="G471" t="n">
        <x:v>3299</x:v>
      </x:c>
      <x:c r="H471" t="n">
        <x:v>81557.62</x:v>
      </x:c>
      <x:c r="I471" t="str">
        <x:v>0.0</x:v>
      </x:c>
      <x:c r="J471" t="n">
        <x:v>0</x:v>
      </x:c>
      <x:c r="K471" t="n">
        <x:v>1</x:v>
      </x:c>
    </x:row>
    <x:row r="472">
      <x:c r="A472" t="str">
        <x:v>P0172</x:v>
      </x:c>
      <x:c r="B472" t="str">
        <x:v>Personal Care</x:v>
      </x:c>
      <x:c r="C472" t="str">
        <x:v>SUP002</x:v>
      </x:c>
      <x:c r="D472" t="n">
        <x:v>167395.58</x:v>
      </x:c>
      <x:c r="E472" t="n">
        <x:v>535</x:v>
      </x:c>
      <x:c r="F472" t="n">
        <x:v>36</x:v>
      </x:c>
      <x:c r="G472" t="n">
        <x:v>3857</x:v>
      </x:c>
      <x:c r="H472" t="n">
        <x:v>86456.52</x:v>
      </x:c>
      <x:c r="I472" t="str">
        <x:v>0.0</x:v>
      </x:c>
      <x:c r="J472" t="n">
        <x:v>863</x:v>
      </x:c>
      <x:c r="K472" t="n">
        <x:v>0</x:v>
      </x:c>
    </x:row>
    <x:row r="473">
      <x:c r="A473" t="str">
        <x:v>P0341</x:v>
      </x:c>
      <x:c r="B473" t="str">
        <x:v>Packaging</x:v>
      </x:c>
      <x:c r="C473" t="str">
        <x:v>SUP013</x:v>
      </x:c>
      <x:c r="D473" t="n">
        <x:v>275687.15</x:v>
      </x:c>
      <x:c r="E473" t="n">
        <x:v>107</x:v>
      </x:c>
      <x:c r="F473" t="n">
        <x:v>8</x:v>
      </x:c>
      <x:c r="G473" t="n">
        <x:v>2892</x:v>
      </x:c>
      <x:c r="H473" t="n">
        <x:v>87696.4</x:v>
      </x:c>
      <x:c r="I473" t="str">
        <x:v>0.0</x:v>
      </x:c>
      <x:c r="J473" t="n">
        <x:v>0</x:v>
      </x:c>
      <x:c r="K473" t="n">
        <x:v>1</x:v>
      </x:c>
    </x:row>
    <x:row r="474">
      <x:c r="A474" t="str">
        <x:v>P0474</x:v>
      </x:c>
      <x:c r="B474" t="str">
        <x:v>Dry Grocery</x:v>
      </x:c>
      <x:c r="C474" t="str">
        <x:v>SUP040</x:v>
      </x:c>
      <x:c r="D474" t="n">
        <x:v>132020.82</x:v>
      </x:c>
      <x:c r="E474" t="n">
        <x:v>87</x:v>
      </x:c>
      <x:c r="F474" t="n">
        <x:v>6</x:v>
      </x:c>
      <x:c r="G474" t="n">
        <x:v>2490</x:v>
      </x:c>
      <x:c r="H474" t="n">
        <x:v>29147.74</x:v>
      </x:c>
      <x:c r="I474" t="str">
        <x:v>0.0</x:v>
      </x:c>
      <x:c r="J474" t="n">
        <x:v>0</x:v>
      </x:c>
      <x:c r="K474" t="n">
        <x:v>1</x:v>
      </x:c>
    </x:row>
    <x:row r="475">
      <x:c r="A475" t="str">
        <x:v>P0321</x:v>
      </x:c>
      <x:c r="B475" t="str">
        <x:v>Beverages</x:v>
      </x:c>
      <x:c r="C475" t="str">
        <x:v>SUP016</x:v>
      </x:c>
      <x:c r="D475" t="n">
        <x:v>84461.92</x:v>
      </x:c>
      <x:c r="E475" t="n">
        <x:v>112</x:v>
      </x:c>
      <x:c r="F475" t="n">
        <x:v>6</x:v>
      </x:c>
      <x:c r="G475" t="n">
        <x:v>2784</x:v>
      </x:c>
      <x:c r="H475" t="n">
        <x:v>138483.7</x:v>
      </x:c>
      <x:c r="I475" t="str">
        <x:v>0.0</x:v>
      </x:c>
      <x:c r="J475" t="n">
        <x:v>3358</x:v>
      </x:c>
      <x:c r="K475" t="n">
        <x:v>0</x:v>
      </x:c>
    </x:row>
    <x:row r="476">
      <x:c r="A476" t="str">
        <x:v>P0425</x:v>
      </x:c>
      <x:c r="B476" t="str">
        <x:v>Beverages</x:v>
      </x:c>
      <x:c r="C476" t="str">
        <x:v>SUP018</x:v>
      </x:c>
      <x:c r="D476" t="n">
        <x:v>265819.2</x:v>
      </x:c>
      <x:c r="E476" t="n">
        <x:v>528</x:v>
      </x:c>
      <x:c r="F476" t="n">
        <x:v>28</x:v>
      </x:c>
      <x:c r="G476" t="n">
        <x:v>2898</x:v>
      </x:c>
      <x:c r="H476" t="n">
        <x:v>39635.04</x:v>
      </x:c>
      <x:c r="I476" t="str">
        <x:v>0.0</x:v>
      </x:c>
      <x:c r="J476" t="n">
        <x:v>0</x:v>
      </x:c>
      <x:c r="K476" t="n">
        <x:v>1</x:v>
      </x:c>
    </x:row>
    <x:row r="477">
      <x:c r="A477" t="str">
        <x:v>P0465</x:v>
      </x:c>
      <x:c r="B477" t="str">
        <x:v>Beverages</x:v>
      </x:c>
      <x:c r="C477" t="str">
        <x:v>SUP001</x:v>
      </x:c>
      <x:c r="D477" t="n">
        <x:v>134096.3</x:v>
      </x:c>
      <x:c r="E477" t="n">
        <x:v>242</x:v>
      </x:c>
      <x:c r="F477" t="n">
        <x:v>18</x:v>
      </x:c>
      <x:c r="G477" t="n">
        <x:v>2560</x:v>
      </x:c>
      <x:c r="H477" t="n">
        <x:v>127213.57</x:v>
      </x:c>
      <x:c r="I477" t="str">
        <x:v>0.0</x:v>
      </x:c>
      <x:c r="J477" t="n">
        <x:v>637</x:v>
      </x:c>
      <x:c r="K477" t="n">
        <x:v>0</x:v>
      </x:c>
    </x:row>
    <x:row r="478">
      <x:c r="A478" t="str">
        <x:v>P0382</x:v>
      </x:c>
      <x:c r="B478" t="str">
        <x:v>Hardware</x:v>
      </x:c>
      <x:c r="C478" t="str">
        <x:v>SUP001</x:v>
      </x:c>
      <x:c r="D478" t="n">
        <x:v>510808.27</x:v>
      </x:c>
      <x:c r="E478" t="n">
        <x:v>107</x:v>
      </x:c>
      <x:c r="F478" t="n">
        <x:v>7</x:v>
      </x:c>
      <x:c r="G478" t="n">
        <x:v>3124</x:v>
      </x:c>
      <x:c r="H478" t="n">
        <x:v>236128.36</x:v>
      </x:c>
      <x:c r="I478" t="str">
        <x:v>0.0</x:v>
      </x:c>
      <x:c r="J478" t="n">
        <x:v>602</x:v>
      </x:c>
      <x:c r="K478" t="n">
        <x:v>0</x:v>
      </x:c>
    </x:row>
    <x:row r="479">
      <x:c r="A479" t="str">
        <x:v>P0299</x:v>
      </x:c>
      <x:c r="B479" t="str">
        <x:v>Household</x:v>
      </x:c>
      <x:c r="C479" t="str">
        <x:v>SUP058</x:v>
      </x:c>
      <x:c r="D479" t="n">
        <x:v>224937.3</x:v>
      </x:c>
      <x:c r="E479" t="n">
        <x:v>1212</x:v>
      </x:c>
      <x:c r="F479" t="n">
        <x:v>89</x:v>
      </x:c>
      <x:c r="G479" t="n">
        <x:v>3438</x:v>
      </x:c>
      <x:c r="H479" t="n">
        <x:v>58115.96</x:v>
      </x:c>
      <x:c r="I479" t="str">
        <x:v>0.0</x:v>
      </x:c>
      <x:c r="J479" t="n">
        <x:v>0</x:v>
      </x:c>
      <x:c r="K479" t="n">
        <x:v>3</x:v>
      </x:c>
    </x:row>
    <x:row r="480">
      <x:c r="A480" t="str">
        <x:v>P0326</x:v>
      </x:c>
      <x:c r="B480" t="str">
        <x:v>Hardware</x:v>
      </x:c>
      <x:c r="C480" t="str">
        <x:v>SUP037</x:v>
      </x:c>
      <x:c r="D480" t="n">
        <x:v>15792.08</x:v>
      </x:c>
      <x:c r="E480" t="n">
        <x:v>157</x:v>
      </x:c>
      <x:c r="F480" t="n">
        <x:v>9</x:v>
      </x:c>
      <x:c r="G480" t="n">
        <x:v>2729</x:v>
      </x:c>
      <x:c r="H480" t="n">
        <x:v>32107.05</x:v>
      </x:c>
      <x:c r="I480" t="str">
        <x:v>0.0</x:v>
      </x:c>
      <x:c r="J480" t="n">
        <x:v>4675</x:v>
      </x:c>
      <x:c r="K480" t="n">
        <x:v>0</x:v>
      </x:c>
    </x:row>
    <x:row r="481">
      <x:c r="A481" t="str">
        <x:v>P0390</x:v>
      </x:c>
      <x:c r="B481" t="str">
        <x:v>Hardware</x:v>
      </x:c>
      <x:c r="C481" t="str">
        <x:v>SUP040</x:v>
      </x:c>
      <x:c r="D481" t="n">
        <x:v>82623.6</x:v>
      </x:c>
      <x:c r="E481" t="n">
        <x:v>371</x:v>
      </x:c>
      <x:c r="F481" t="n">
        <x:v>24</x:v>
      </x:c>
      <x:c r="G481" t="n">
        <x:v>2705</x:v>
      </x:c>
      <x:c r="H481" t="n">
        <x:v>22609.85</x:v>
      </x:c>
      <x:c r="I481" t="str">
        <x:v>0.0</x:v>
      </x:c>
      <x:c r="J481" t="n">
        <x:v>0</x:v>
      </x:c>
      <x:c r="K48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124e4cd2f9341d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31" hidden="0" customWidth="1"/>
    <x:col min="4" max="4" width="18" hidden="0" customWidth="1"/>
    <x:col min="5" max="5" width="18" hidden="0" customWidth="1"/>
  </x:cols>
  <x:sheetData>
    <x:row r="1" ht="27" customHeight="1">
      <x:c r="A1" s="15" t="str">
        <x:v>ProductID</x:v>
      </x:c>
      <x:c r="B1" s="15" t="str">
        <x:v>Material</x:v>
      </x:c>
      <x:c r="C1" s="15" t="str">
        <x:v>MaterialDescription</x:v>
      </x:c>
      <x:c r="D1" s="15" t="str">
        <x:v>Category</x:v>
      </x:c>
      <x:c r="E1" s="15" t="str">
        <x:v>SupplierID</x:v>
      </x:c>
    </x:row>
    <x:row r="2">
      <x:c r="A2" t="str">
        <x:v>P0001</x:v>
      </x:c>
      <x:c r="B2" t="str">
        <x:v>MAT000001</x:v>
      </x:c>
      <x:c r="C2" t="str">
        <x:v>Beverages Item 0001</x:v>
      </x:c>
      <x:c r="D2" t="str">
        <x:v>Beverages</x:v>
      </x:c>
      <x:c r="E2" t="str">
        <x:v>SUP053</x:v>
      </x:c>
    </x:row>
    <x:row r="3">
      <x:c r="A3" t="str">
        <x:v>P0002</x:v>
      </x:c>
      <x:c r="B3" t="str">
        <x:v>MAT000002</x:v>
      </x:c>
      <x:c r="C3" t="str">
        <x:v>Dry Grocery Item 0002</x:v>
      </x:c>
      <x:c r="D3" t="str">
        <x:v>Dry Grocery</x:v>
      </x:c>
      <x:c r="E3" t="str">
        <x:v>SUP030</x:v>
      </x:c>
    </x:row>
    <x:row r="4">
      <x:c r="A4" t="str">
        <x:v>P0003</x:v>
      </x:c>
      <x:c r="B4" t="str">
        <x:v>MAT000003</x:v>
      </x:c>
      <x:c r="C4" t="str">
        <x:v>Household Item 0003</x:v>
      </x:c>
      <x:c r="D4" t="str">
        <x:v>Household</x:v>
      </x:c>
      <x:c r="E4" t="str">
        <x:v>SUP014</x:v>
      </x:c>
    </x:row>
    <x:row r="5">
      <x:c r="A5" t="str">
        <x:v>P0004</x:v>
      </x:c>
      <x:c r="B5" t="str">
        <x:v>MAT000004</x:v>
      </x:c>
      <x:c r="C5" t="str">
        <x:v>Personal Care Item 0004</x:v>
      </x:c>
      <x:c r="D5" t="str">
        <x:v>Personal Care</x:v>
      </x:c>
      <x:c r="E5" t="str">
        <x:v>SUP058</x:v>
      </x:c>
    </x:row>
    <x:row r="6">
      <x:c r="A6" t="str">
        <x:v>P0005</x:v>
      </x:c>
      <x:c r="B6" t="str">
        <x:v>MAT000005</x:v>
      </x:c>
      <x:c r="C6" t="str">
        <x:v>Packaging Item 0005</x:v>
      </x:c>
      <x:c r="D6" t="str">
        <x:v>Packaging</x:v>
      </x:c>
      <x:c r="E6" t="str">
        <x:v>SUP020</x:v>
      </x:c>
    </x:row>
    <x:row r="7">
      <x:c r="A7" t="str">
        <x:v>P0006</x:v>
      </x:c>
      <x:c r="B7" t="str">
        <x:v>MAT000006</x:v>
      </x:c>
      <x:c r="C7" t="str">
        <x:v>Hardware Item 0006</x:v>
      </x:c>
      <x:c r="D7" t="str">
        <x:v>Hardware</x:v>
      </x:c>
      <x:c r="E7" t="str">
        <x:v>SUP014</x:v>
      </x:c>
    </x:row>
    <x:row r="8">
      <x:c r="A8" t="str">
        <x:v>P0007</x:v>
      </x:c>
      <x:c r="B8" t="str">
        <x:v>MAT000007</x:v>
      </x:c>
      <x:c r="C8" t="str">
        <x:v>Electrical Item 0007</x:v>
      </x:c>
      <x:c r="D8" t="str">
        <x:v>Electrical</x:v>
      </x:c>
      <x:c r="E8" t="str">
        <x:v>SUP026</x:v>
      </x:c>
    </x:row>
    <x:row r="9">
      <x:c r="A9" t="str">
        <x:v>P0008</x:v>
      </x:c>
      <x:c r="B9" t="str">
        <x:v>MAT000008</x:v>
      </x:c>
      <x:c r="C9" t="str">
        <x:v>Cleaning Item 0008</x:v>
      </x:c>
      <x:c r="D9" t="str">
        <x:v>Cleaning</x:v>
      </x:c>
      <x:c r="E9" t="str">
        <x:v>SUP022</x:v>
      </x:c>
    </x:row>
    <x:row r="10">
      <x:c r="A10" t="str">
        <x:v>P0009</x:v>
      </x:c>
      <x:c r="B10" t="str">
        <x:v>MAT000009</x:v>
      </x:c>
      <x:c r="C10" t="str">
        <x:v>Beverages Item 0009</x:v>
      </x:c>
      <x:c r="D10" t="str">
        <x:v>Beverages</x:v>
      </x:c>
      <x:c r="E10" t="str">
        <x:v>SUP005</x:v>
      </x:c>
    </x:row>
    <x:row r="11">
      <x:c r="A11" t="str">
        <x:v>P0010</x:v>
      </x:c>
      <x:c r="B11" t="str">
        <x:v>MAT000010</x:v>
      </x:c>
      <x:c r="C11" t="str">
        <x:v>Dry Grocery Item 0010</x:v>
      </x:c>
      <x:c r="D11" t="str">
        <x:v>Dry Grocery</x:v>
      </x:c>
      <x:c r="E11" t="str">
        <x:v>SUP007</x:v>
      </x:c>
    </x:row>
    <x:row r="12">
      <x:c r="A12" t="str">
        <x:v>P0011</x:v>
      </x:c>
      <x:c r="B12" t="str">
        <x:v>MAT000011</x:v>
      </x:c>
      <x:c r="C12" t="str">
        <x:v>Household Item 0011</x:v>
      </x:c>
      <x:c r="D12" t="str">
        <x:v>Household</x:v>
      </x:c>
      <x:c r="E12" t="str">
        <x:v>SUP051</x:v>
      </x:c>
    </x:row>
    <x:row r="13">
      <x:c r="A13" t="str">
        <x:v>P0012</x:v>
      </x:c>
      <x:c r="B13" t="str">
        <x:v>MAT000012</x:v>
      </x:c>
      <x:c r="C13" t="str">
        <x:v>Personal Care Item 0012</x:v>
      </x:c>
      <x:c r="D13" t="str">
        <x:v>Personal Care</x:v>
      </x:c>
      <x:c r="E13" t="str">
        <x:v>SUP036</x:v>
      </x:c>
    </x:row>
    <x:row r="14">
      <x:c r="A14" t="str">
        <x:v>P0013</x:v>
      </x:c>
      <x:c r="B14" t="str">
        <x:v>MAT000013</x:v>
      </x:c>
      <x:c r="C14" t="str">
        <x:v>Packaging Item 0013</x:v>
      </x:c>
      <x:c r="D14" t="str">
        <x:v>Packaging</x:v>
      </x:c>
      <x:c r="E14" t="str">
        <x:v>SUP033</x:v>
      </x:c>
    </x:row>
    <x:row r="15">
      <x:c r="A15" t="str">
        <x:v>P0014</x:v>
      </x:c>
      <x:c r="B15" t="str">
        <x:v>MAT000014</x:v>
      </x:c>
      <x:c r="C15" t="str">
        <x:v>Hardware Item 0014</x:v>
      </x:c>
      <x:c r="D15" t="str">
        <x:v>Hardware</x:v>
      </x:c>
      <x:c r="E15" t="str">
        <x:v>SUP049</x:v>
      </x:c>
    </x:row>
    <x:row r="16">
      <x:c r="A16" t="str">
        <x:v>P0015</x:v>
      </x:c>
      <x:c r="B16" t="str">
        <x:v>MAT000015</x:v>
      </x:c>
      <x:c r="C16" t="str">
        <x:v>Electrical Item 0015</x:v>
      </x:c>
      <x:c r="D16" t="str">
        <x:v>Electrical</x:v>
      </x:c>
      <x:c r="E16" t="str">
        <x:v>SUP049</x:v>
      </x:c>
    </x:row>
    <x:row r="17">
      <x:c r="A17" t="str">
        <x:v>P0016</x:v>
      </x:c>
      <x:c r="B17" t="str">
        <x:v>MAT000016</x:v>
      </x:c>
      <x:c r="C17" t="str">
        <x:v>Cleaning Item 0016</x:v>
      </x:c>
      <x:c r="D17" t="str">
        <x:v>Cleaning</x:v>
      </x:c>
      <x:c r="E17" t="str">
        <x:v>SUP050</x:v>
      </x:c>
    </x:row>
    <x:row r="18">
      <x:c r="A18" t="str">
        <x:v>P0017</x:v>
      </x:c>
      <x:c r="B18" t="str">
        <x:v>MAT000017</x:v>
      </x:c>
      <x:c r="C18" t="str">
        <x:v>Beverages Item 0017</x:v>
      </x:c>
      <x:c r="D18" t="str">
        <x:v>Beverages</x:v>
      </x:c>
      <x:c r="E18" t="str">
        <x:v>SUP026</x:v>
      </x:c>
    </x:row>
    <x:row r="19">
      <x:c r="A19" t="str">
        <x:v>P0018</x:v>
      </x:c>
      <x:c r="B19" t="str">
        <x:v>MAT000018</x:v>
      </x:c>
      <x:c r="C19" t="str">
        <x:v>Dry Grocery Item 0018</x:v>
      </x:c>
      <x:c r="D19" t="str">
        <x:v>Dry Grocery</x:v>
      </x:c>
      <x:c r="E19" t="str">
        <x:v>SUP023</x:v>
      </x:c>
    </x:row>
    <x:row r="20">
      <x:c r="A20" t="str">
        <x:v>P0019</x:v>
      </x:c>
      <x:c r="B20" t="str">
        <x:v>MAT000019</x:v>
      </x:c>
      <x:c r="C20" t="str">
        <x:v>Household Item 0019</x:v>
      </x:c>
      <x:c r="D20" t="str">
        <x:v>Household</x:v>
      </x:c>
      <x:c r="E20" t="str">
        <x:v>SUP041</x:v>
      </x:c>
    </x:row>
    <x:row r="21">
      <x:c r="A21" t="str">
        <x:v>P0020</x:v>
      </x:c>
      <x:c r="B21" t="str">
        <x:v>MAT000020</x:v>
      </x:c>
      <x:c r="C21" t="str">
        <x:v>Personal Care Item 0020</x:v>
      </x:c>
      <x:c r="D21" t="str">
        <x:v>Personal Care</x:v>
      </x:c>
      <x:c r="E21" t="str">
        <x:v>SUP038</x:v>
      </x:c>
    </x:row>
    <x:row r="22">
      <x:c r="A22" t="str">
        <x:v>P0021</x:v>
      </x:c>
      <x:c r="B22" t="str">
        <x:v>MAT000021</x:v>
      </x:c>
      <x:c r="C22" t="str">
        <x:v>Packaging Item 0021</x:v>
      </x:c>
      <x:c r="D22" t="str">
        <x:v>Packaging</x:v>
      </x:c>
      <x:c r="E22" t="str">
        <x:v>SUP042</x:v>
      </x:c>
    </x:row>
    <x:row r="23">
      <x:c r="A23" t="str">
        <x:v>P0022</x:v>
      </x:c>
      <x:c r="B23" t="str">
        <x:v>MAT000022</x:v>
      </x:c>
      <x:c r="C23" t="str">
        <x:v>Hardware Item 0022</x:v>
      </x:c>
      <x:c r="D23" t="str">
        <x:v>Hardware</x:v>
      </x:c>
      <x:c r="E23" t="str">
        <x:v>SUP007</x:v>
      </x:c>
    </x:row>
    <x:row r="24">
      <x:c r="A24" t="str">
        <x:v>P0023</x:v>
      </x:c>
      <x:c r="B24" t="str">
        <x:v>MAT000023</x:v>
      </x:c>
      <x:c r="C24" t="str">
        <x:v>Electrical Item 0023</x:v>
      </x:c>
      <x:c r="D24" t="str">
        <x:v>Electrical</x:v>
      </x:c>
      <x:c r="E24" t="str">
        <x:v>SUP026</x:v>
      </x:c>
    </x:row>
    <x:row r="25">
      <x:c r="A25" t="str">
        <x:v>P0024</x:v>
      </x:c>
      <x:c r="B25" t="str">
        <x:v>MAT000024</x:v>
      </x:c>
      <x:c r="C25" t="str">
        <x:v>Cleaning Item 0024</x:v>
      </x:c>
      <x:c r="D25" t="str">
        <x:v>Cleaning</x:v>
      </x:c>
      <x:c r="E25" t="str">
        <x:v>SUP017</x:v>
      </x:c>
    </x:row>
    <x:row r="26">
      <x:c r="A26" t="str">
        <x:v>P0025</x:v>
      </x:c>
      <x:c r="B26" t="str">
        <x:v>MAT000025</x:v>
      </x:c>
      <x:c r="C26" t="str">
        <x:v>Beverages Item 0025</x:v>
      </x:c>
      <x:c r="D26" t="str">
        <x:v>Beverages</x:v>
      </x:c>
      <x:c r="E26" t="str">
        <x:v>SUP046</x:v>
      </x:c>
    </x:row>
    <x:row r="27">
      <x:c r="A27" t="str">
        <x:v>P0026</x:v>
      </x:c>
      <x:c r="B27" t="str">
        <x:v>MAT000026</x:v>
      </x:c>
      <x:c r="C27" t="str">
        <x:v>Dry Grocery Item 0026</x:v>
      </x:c>
      <x:c r="D27" t="str">
        <x:v>Dry Grocery</x:v>
      </x:c>
      <x:c r="E27" t="str">
        <x:v>SUP051</x:v>
      </x:c>
    </x:row>
    <x:row r="28">
      <x:c r="A28" t="str">
        <x:v>P0027</x:v>
      </x:c>
      <x:c r="B28" t="str">
        <x:v>MAT000027</x:v>
      </x:c>
      <x:c r="C28" t="str">
        <x:v>Household Item 0027</x:v>
      </x:c>
      <x:c r="D28" t="str">
        <x:v>Household</x:v>
      </x:c>
      <x:c r="E28" t="str">
        <x:v>SUP020</x:v>
      </x:c>
    </x:row>
    <x:row r="29">
      <x:c r="A29" t="str">
        <x:v>P0028</x:v>
      </x:c>
      <x:c r="B29" t="str">
        <x:v>MAT000028</x:v>
      </x:c>
      <x:c r="C29" t="str">
        <x:v>Personal Care Item 0028</x:v>
      </x:c>
      <x:c r="D29" t="str">
        <x:v>Personal Care</x:v>
      </x:c>
      <x:c r="E29" t="str">
        <x:v>SUP035</x:v>
      </x:c>
    </x:row>
    <x:row r="30">
      <x:c r="A30" t="str">
        <x:v>P0029</x:v>
      </x:c>
      <x:c r="B30" t="str">
        <x:v>MAT000029</x:v>
      </x:c>
      <x:c r="C30" t="str">
        <x:v>Packaging Item 0029</x:v>
      </x:c>
      <x:c r="D30" t="str">
        <x:v>Packaging</x:v>
      </x:c>
      <x:c r="E30" t="str">
        <x:v>SUP040</x:v>
      </x:c>
    </x:row>
    <x:row r="31">
      <x:c r="A31" t="str">
        <x:v>P0030</x:v>
      </x:c>
      <x:c r="B31" t="str">
        <x:v>MAT000030</x:v>
      </x:c>
      <x:c r="C31" t="str">
        <x:v>Hardware Item 0030</x:v>
      </x:c>
      <x:c r="D31" t="str">
        <x:v>Hardware</x:v>
      </x:c>
      <x:c r="E31" t="str">
        <x:v>SUP008</x:v>
      </x:c>
    </x:row>
    <x:row r="32">
      <x:c r="A32" t="str">
        <x:v>P0031</x:v>
      </x:c>
      <x:c r="B32" t="str">
        <x:v>MAT000031</x:v>
      </x:c>
      <x:c r="C32" t="str">
        <x:v>Electrical Item 0031</x:v>
      </x:c>
      <x:c r="D32" t="str">
        <x:v>Electrical</x:v>
      </x:c>
      <x:c r="E32" t="str">
        <x:v>SUP004</x:v>
      </x:c>
    </x:row>
    <x:row r="33">
      <x:c r="A33" t="str">
        <x:v>P0032</x:v>
      </x:c>
      <x:c r="B33" t="str">
        <x:v>MAT000032</x:v>
      </x:c>
      <x:c r="C33" t="str">
        <x:v>Cleaning Item 0032</x:v>
      </x:c>
      <x:c r="D33" t="str">
        <x:v>Cleaning</x:v>
      </x:c>
      <x:c r="E33" t="str">
        <x:v>SUP019</x:v>
      </x:c>
    </x:row>
    <x:row r="34">
      <x:c r="A34" t="str">
        <x:v>P0033</x:v>
      </x:c>
      <x:c r="B34" t="str">
        <x:v>MAT000033</x:v>
      </x:c>
      <x:c r="C34" t="str">
        <x:v>Beverages Item 0033</x:v>
      </x:c>
      <x:c r="D34" t="str">
        <x:v>Beverages</x:v>
      </x:c>
      <x:c r="E34" t="str">
        <x:v>SUP008</x:v>
      </x:c>
    </x:row>
    <x:row r="35">
      <x:c r="A35" t="str">
        <x:v>P0034</x:v>
      </x:c>
      <x:c r="B35" t="str">
        <x:v>MAT000034</x:v>
      </x:c>
      <x:c r="C35" t="str">
        <x:v>Dry Grocery Item 0034</x:v>
      </x:c>
      <x:c r="D35" t="str">
        <x:v>Dry Grocery</x:v>
      </x:c>
      <x:c r="E35" t="str">
        <x:v>SUP012</x:v>
      </x:c>
    </x:row>
    <x:row r="36">
      <x:c r="A36" t="str">
        <x:v>P0035</x:v>
      </x:c>
      <x:c r="B36" t="str">
        <x:v>MAT000035</x:v>
      </x:c>
      <x:c r="C36" t="str">
        <x:v>Household Item 0035</x:v>
      </x:c>
      <x:c r="D36" t="str">
        <x:v>Household</x:v>
      </x:c>
      <x:c r="E36" t="str">
        <x:v>SUP035</x:v>
      </x:c>
    </x:row>
    <x:row r="37">
      <x:c r="A37" t="str">
        <x:v>P0036</x:v>
      </x:c>
      <x:c r="B37" t="str">
        <x:v>MAT000036</x:v>
      </x:c>
      <x:c r="C37" t="str">
        <x:v>Personal Care Item 0036</x:v>
      </x:c>
      <x:c r="D37" t="str">
        <x:v>Personal Care</x:v>
      </x:c>
      <x:c r="E37" t="str">
        <x:v>SUP033</x:v>
      </x:c>
    </x:row>
    <x:row r="38">
      <x:c r="A38" t="str">
        <x:v>P0037</x:v>
      </x:c>
      <x:c r="B38" t="str">
        <x:v>MAT000037</x:v>
      </x:c>
      <x:c r="C38" t="str">
        <x:v>Packaging Item 0037</x:v>
      </x:c>
      <x:c r="D38" t="str">
        <x:v>Packaging</x:v>
      </x:c>
      <x:c r="E38" t="str">
        <x:v>SUP013</x:v>
      </x:c>
    </x:row>
    <x:row r="39">
      <x:c r="A39" t="str">
        <x:v>P0038</x:v>
      </x:c>
      <x:c r="B39" t="str">
        <x:v>MAT000038</x:v>
      </x:c>
      <x:c r="C39" t="str">
        <x:v>Hardware Item 0038</x:v>
      </x:c>
      <x:c r="D39" t="str">
        <x:v>Hardware</x:v>
      </x:c>
      <x:c r="E39" t="str">
        <x:v>SUP051</x:v>
      </x:c>
    </x:row>
    <x:row r="40">
      <x:c r="A40" t="str">
        <x:v>P0039</x:v>
      </x:c>
      <x:c r="B40" t="str">
        <x:v>MAT000039</x:v>
      </x:c>
      <x:c r="C40" t="str">
        <x:v>Electrical Item 0039</x:v>
      </x:c>
      <x:c r="D40" t="str">
        <x:v>Electrical</x:v>
      </x:c>
      <x:c r="E40" t="str">
        <x:v>SUP023</x:v>
      </x:c>
    </x:row>
    <x:row r="41">
      <x:c r="A41" t="str">
        <x:v>P0040</x:v>
      </x:c>
      <x:c r="B41" t="str">
        <x:v>MAT000040</x:v>
      </x:c>
      <x:c r="C41" t="str">
        <x:v>Cleaning Item 0040</x:v>
      </x:c>
      <x:c r="D41" t="str">
        <x:v>Cleaning</x:v>
      </x:c>
      <x:c r="E41" t="str">
        <x:v>SUP020</x:v>
      </x:c>
    </x:row>
    <x:row r="42">
      <x:c r="A42" t="str">
        <x:v>P0041</x:v>
      </x:c>
      <x:c r="B42" t="str">
        <x:v>MAT000041</x:v>
      </x:c>
      <x:c r="C42" t="str">
        <x:v>Beverages Item 0041</x:v>
      </x:c>
      <x:c r="D42" t="str">
        <x:v>Beverages</x:v>
      </x:c>
      <x:c r="E42" t="str">
        <x:v>SUP050</x:v>
      </x:c>
    </x:row>
    <x:row r="43">
      <x:c r="A43" t="str">
        <x:v>P0042</x:v>
      </x:c>
      <x:c r="B43" t="str">
        <x:v>MAT000042</x:v>
      </x:c>
      <x:c r="C43" t="str">
        <x:v>Dry Grocery Item 0042</x:v>
      </x:c>
      <x:c r="D43" t="str">
        <x:v>Dry Grocery</x:v>
      </x:c>
      <x:c r="E43" t="str">
        <x:v>SUP024</x:v>
      </x:c>
    </x:row>
    <x:row r="44">
      <x:c r="A44" t="str">
        <x:v>P0043</x:v>
      </x:c>
      <x:c r="B44" t="str">
        <x:v>MAT000043</x:v>
      </x:c>
      <x:c r="C44" t="str">
        <x:v>Household Item 0043</x:v>
      </x:c>
      <x:c r="D44" t="str">
        <x:v>Household</x:v>
      </x:c>
      <x:c r="E44" t="str">
        <x:v>SUP018</x:v>
      </x:c>
    </x:row>
    <x:row r="45">
      <x:c r="A45" t="str">
        <x:v>P0044</x:v>
      </x:c>
      <x:c r="B45" t="str">
        <x:v>MAT000044</x:v>
      </x:c>
      <x:c r="C45" t="str">
        <x:v>Personal Care Item 0044</x:v>
      </x:c>
      <x:c r="D45" t="str">
        <x:v>Personal Care</x:v>
      </x:c>
      <x:c r="E45" t="str">
        <x:v>SUP018</x:v>
      </x:c>
    </x:row>
    <x:row r="46">
      <x:c r="A46" t="str">
        <x:v>P0045</x:v>
      </x:c>
      <x:c r="B46" t="str">
        <x:v>MAT000045</x:v>
      </x:c>
      <x:c r="C46" t="str">
        <x:v>Packaging Item 0045</x:v>
      </x:c>
      <x:c r="D46" t="str">
        <x:v>Packaging</x:v>
      </x:c>
      <x:c r="E46" t="str">
        <x:v>SUP003</x:v>
      </x:c>
    </x:row>
    <x:row r="47">
      <x:c r="A47" t="str">
        <x:v>P0046</x:v>
      </x:c>
      <x:c r="B47" t="str">
        <x:v>MAT000046</x:v>
      </x:c>
      <x:c r="C47" t="str">
        <x:v>Hardware Item 0046</x:v>
      </x:c>
      <x:c r="D47" t="str">
        <x:v>Hardware</x:v>
      </x:c>
      <x:c r="E47" t="str">
        <x:v>SUP014</x:v>
      </x:c>
    </x:row>
    <x:row r="48">
      <x:c r="A48" t="str">
        <x:v>P0047</x:v>
      </x:c>
      <x:c r="B48" t="str">
        <x:v>MAT000047</x:v>
      </x:c>
      <x:c r="C48" t="str">
        <x:v>Electrical Item 0047</x:v>
      </x:c>
      <x:c r="D48" t="str">
        <x:v>Electrical</x:v>
      </x:c>
      <x:c r="E48" t="str">
        <x:v>SUP063</x:v>
      </x:c>
    </x:row>
    <x:row r="49">
      <x:c r="A49" t="str">
        <x:v>P0048</x:v>
      </x:c>
      <x:c r="B49" t="str">
        <x:v>MAT000048</x:v>
      </x:c>
      <x:c r="C49" t="str">
        <x:v>Cleaning Item 0048</x:v>
      </x:c>
      <x:c r="D49" t="str">
        <x:v>Cleaning</x:v>
      </x:c>
      <x:c r="E49" t="str">
        <x:v>SUP016</x:v>
      </x:c>
    </x:row>
    <x:row r="50">
      <x:c r="A50" t="str">
        <x:v>P0049</x:v>
      </x:c>
      <x:c r="B50" t="str">
        <x:v>MAT000049</x:v>
      </x:c>
      <x:c r="C50" t="str">
        <x:v>Beverages Item 0049</x:v>
      </x:c>
      <x:c r="D50" t="str">
        <x:v>Beverages</x:v>
      </x:c>
      <x:c r="E50" t="str">
        <x:v>SUP023</x:v>
      </x:c>
    </x:row>
    <x:row r="51">
      <x:c r="A51" t="str">
        <x:v>P0050</x:v>
      </x:c>
      <x:c r="B51" t="str">
        <x:v>MAT000050</x:v>
      </x:c>
      <x:c r="C51" t="str">
        <x:v>Dry Grocery Item 0050</x:v>
      </x:c>
      <x:c r="D51" t="str">
        <x:v>Dry Grocery</x:v>
      </x:c>
      <x:c r="E51" t="str">
        <x:v>SUP046</x:v>
      </x:c>
    </x:row>
    <x:row r="52">
      <x:c r="A52" t="str">
        <x:v>P0051</x:v>
      </x:c>
      <x:c r="B52" t="str">
        <x:v>MAT000051</x:v>
      </x:c>
      <x:c r="C52" t="str">
        <x:v>Household Item 0051</x:v>
      </x:c>
      <x:c r="D52" t="str">
        <x:v>Household</x:v>
      </x:c>
      <x:c r="E52" t="str">
        <x:v>SUP040</x:v>
      </x:c>
    </x:row>
    <x:row r="53">
      <x:c r="A53" t="str">
        <x:v>P0052</x:v>
      </x:c>
      <x:c r="B53" t="str">
        <x:v>MAT000052</x:v>
      </x:c>
      <x:c r="C53" t="str">
        <x:v>Personal Care Item 0052</x:v>
      </x:c>
      <x:c r="D53" t="str">
        <x:v>Personal Care</x:v>
      </x:c>
      <x:c r="E53" t="str">
        <x:v>SUP030</x:v>
      </x:c>
    </x:row>
    <x:row r="54">
      <x:c r="A54" t="str">
        <x:v>P0053</x:v>
      </x:c>
      <x:c r="B54" t="str">
        <x:v>MAT000053</x:v>
      </x:c>
      <x:c r="C54" t="str">
        <x:v>Packaging Item 0053</x:v>
      </x:c>
      <x:c r="D54" t="str">
        <x:v>Packaging</x:v>
      </x:c>
      <x:c r="E54" t="str">
        <x:v>SUP048</x:v>
      </x:c>
    </x:row>
    <x:row r="55">
      <x:c r="A55" t="str">
        <x:v>P0054</x:v>
      </x:c>
      <x:c r="B55" t="str">
        <x:v>MAT000054</x:v>
      </x:c>
      <x:c r="C55" t="str">
        <x:v>Hardware Item 0054</x:v>
      </x:c>
      <x:c r="D55" t="str">
        <x:v>Hardware</x:v>
      </x:c>
      <x:c r="E55" t="str">
        <x:v>SUP057</x:v>
      </x:c>
    </x:row>
    <x:row r="56">
      <x:c r="A56" t="str">
        <x:v>P0055</x:v>
      </x:c>
      <x:c r="B56" t="str">
        <x:v>MAT000055</x:v>
      </x:c>
      <x:c r="C56" t="str">
        <x:v>Electrical Item 0055</x:v>
      </x:c>
      <x:c r="D56" t="str">
        <x:v>Electrical</x:v>
      </x:c>
      <x:c r="E56" t="str">
        <x:v>SUP003</x:v>
      </x:c>
    </x:row>
    <x:row r="57">
      <x:c r="A57" t="str">
        <x:v>P0056</x:v>
      </x:c>
      <x:c r="B57" t="str">
        <x:v>MAT000056</x:v>
      </x:c>
      <x:c r="C57" t="str">
        <x:v>Cleaning Item 0056</x:v>
      </x:c>
      <x:c r="D57" t="str">
        <x:v>Cleaning</x:v>
      </x:c>
      <x:c r="E57" t="str">
        <x:v>SUP025</x:v>
      </x:c>
    </x:row>
    <x:row r="58">
      <x:c r="A58" t="str">
        <x:v>P0057</x:v>
      </x:c>
      <x:c r="B58" t="str">
        <x:v>MAT000057</x:v>
      </x:c>
      <x:c r="C58" t="str">
        <x:v>Beverages Item 0057</x:v>
      </x:c>
      <x:c r="D58" t="str">
        <x:v>Beverages</x:v>
      </x:c>
      <x:c r="E58" t="str">
        <x:v>SUP022</x:v>
      </x:c>
    </x:row>
    <x:row r="59">
      <x:c r="A59" t="str">
        <x:v>P0058</x:v>
      </x:c>
      <x:c r="B59" t="str">
        <x:v>MAT000058</x:v>
      </x:c>
      <x:c r="C59" t="str">
        <x:v>Dry Grocery Item 0058</x:v>
      </x:c>
      <x:c r="D59" t="str">
        <x:v>Dry Grocery</x:v>
      </x:c>
      <x:c r="E59" t="str">
        <x:v>SUP013</x:v>
      </x:c>
    </x:row>
    <x:row r="60">
      <x:c r="A60" t="str">
        <x:v>P0059</x:v>
      </x:c>
      <x:c r="B60" t="str">
        <x:v>MAT000059</x:v>
      </x:c>
      <x:c r="C60" t="str">
        <x:v>Household Item 0059</x:v>
      </x:c>
      <x:c r="D60" t="str">
        <x:v>Household</x:v>
      </x:c>
      <x:c r="E60" t="str">
        <x:v>SUP019</x:v>
      </x:c>
    </x:row>
    <x:row r="61">
      <x:c r="A61" t="str">
        <x:v>P0060</x:v>
      </x:c>
      <x:c r="B61" t="str">
        <x:v>MAT000060</x:v>
      </x:c>
      <x:c r="C61" t="str">
        <x:v>Personal Care Item 0060</x:v>
      </x:c>
      <x:c r="D61" t="str">
        <x:v>Personal Care</x:v>
      </x:c>
      <x:c r="E61" t="str">
        <x:v>SUP042</x:v>
      </x:c>
    </x:row>
    <x:row r="62">
      <x:c r="A62" t="str">
        <x:v>P0061</x:v>
      </x:c>
      <x:c r="B62" t="str">
        <x:v>MAT000061</x:v>
      </x:c>
      <x:c r="C62" t="str">
        <x:v>Packaging Item 0061</x:v>
      </x:c>
      <x:c r="D62" t="str">
        <x:v>Packaging</x:v>
      </x:c>
      <x:c r="E62" t="str">
        <x:v>SUP008</x:v>
      </x:c>
    </x:row>
    <x:row r="63">
      <x:c r="A63" t="str">
        <x:v>P0062</x:v>
      </x:c>
      <x:c r="B63" t="str">
        <x:v>MAT000062</x:v>
      </x:c>
      <x:c r="C63" t="str">
        <x:v>Hardware Item 0062</x:v>
      </x:c>
      <x:c r="D63" t="str">
        <x:v>Hardware</x:v>
      </x:c>
      <x:c r="E63" t="str">
        <x:v>SUP024</x:v>
      </x:c>
    </x:row>
    <x:row r="64">
      <x:c r="A64" t="str">
        <x:v>P0063</x:v>
      </x:c>
      <x:c r="B64" t="str">
        <x:v>MAT000063</x:v>
      </x:c>
      <x:c r="C64" t="str">
        <x:v>Electrical Item 0063</x:v>
      </x:c>
      <x:c r="D64" t="str">
        <x:v>Electrical</x:v>
      </x:c>
      <x:c r="E64" t="str">
        <x:v>SUP013</x:v>
      </x:c>
    </x:row>
    <x:row r="65">
      <x:c r="A65" t="str">
        <x:v>P0064</x:v>
      </x:c>
      <x:c r="B65" t="str">
        <x:v>MAT000064</x:v>
      </x:c>
      <x:c r="C65" t="str">
        <x:v>Cleaning Item 0064</x:v>
      </x:c>
      <x:c r="D65" t="str">
        <x:v>Cleaning</x:v>
      </x:c>
      <x:c r="E65" t="str">
        <x:v>SUP006</x:v>
      </x:c>
    </x:row>
    <x:row r="66">
      <x:c r="A66" t="str">
        <x:v>P0065</x:v>
      </x:c>
      <x:c r="B66" t="str">
        <x:v>MAT000065</x:v>
      </x:c>
      <x:c r="C66" t="str">
        <x:v>Beverages Item 0065</x:v>
      </x:c>
      <x:c r="D66" t="str">
        <x:v>Beverages</x:v>
      </x:c>
      <x:c r="E66" t="str">
        <x:v>SUP035</x:v>
      </x:c>
    </x:row>
    <x:row r="67">
      <x:c r="A67" t="str">
        <x:v>P0066</x:v>
      </x:c>
      <x:c r="B67" t="str">
        <x:v>MAT000066</x:v>
      </x:c>
      <x:c r="C67" t="str">
        <x:v>Dry Grocery Item 0066</x:v>
      </x:c>
      <x:c r="D67" t="str">
        <x:v>Dry Grocery</x:v>
      </x:c>
      <x:c r="E67" t="str">
        <x:v>SUP057</x:v>
      </x:c>
    </x:row>
    <x:row r="68">
      <x:c r="A68" t="str">
        <x:v>P0067</x:v>
      </x:c>
      <x:c r="B68" t="str">
        <x:v>MAT000067</x:v>
      </x:c>
      <x:c r="C68" t="str">
        <x:v>Household Item 0067</x:v>
      </x:c>
      <x:c r="D68" t="str">
        <x:v>Household</x:v>
      </x:c>
      <x:c r="E68" t="str">
        <x:v>SUP024</x:v>
      </x:c>
    </x:row>
    <x:row r="69">
      <x:c r="A69" t="str">
        <x:v>P0068</x:v>
      </x:c>
      <x:c r="B69" t="str">
        <x:v>MAT000068</x:v>
      </x:c>
      <x:c r="C69" t="str">
        <x:v>Personal Care Item 0068</x:v>
      </x:c>
      <x:c r="D69" t="str">
        <x:v>Personal Care</x:v>
      </x:c>
      <x:c r="E69" t="str">
        <x:v>SUP052</x:v>
      </x:c>
    </x:row>
    <x:row r="70">
      <x:c r="A70" t="str">
        <x:v>P0069</x:v>
      </x:c>
      <x:c r="B70" t="str">
        <x:v>MAT000069</x:v>
      </x:c>
      <x:c r="C70" t="str">
        <x:v>Packaging Item 0069</x:v>
      </x:c>
      <x:c r="D70" t="str">
        <x:v>Packaging</x:v>
      </x:c>
      <x:c r="E70" t="str">
        <x:v>SUP003</x:v>
      </x:c>
    </x:row>
    <x:row r="71">
      <x:c r="A71" t="str">
        <x:v>P0070</x:v>
      </x:c>
      <x:c r="B71" t="str">
        <x:v>MAT000070</x:v>
      </x:c>
      <x:c r="C71" t="str">
        <x:v>Hardware Item 0070</x:v>
      </x:c>
      <x:c r="D71" t="str">
        <x:v>Hardware</x:v>
      </x:c>
      <x:c r="E71" t="str">
        <x:v>SUP048</x:v>
      </x:c>
    </x:row>
    <x:row r="72">
      <x:c r="A72" t="str">
        <x:v>P0071</x:v>
      </x:c>
      <x:c r="B72" t="str">
        <x:v>MAT000071</x:v>
      </x:c>
      <x:c r="C72" t="str">
        <x:v>Electrical Item 0071</x:v>
      </x:c>
      <x:c r="D72" t="str">
        <x:v>Electrical</x:v>
      </x:c>
      <x:c r="E72" t="str">
        <x:v>SUP002</x:v>
      </x:c>
    </x:row>
    <x:row r="73">
      <x:c r="A73" t="str">
        <x:v>P0072</x:v>
      </x:c>
      <x:c r="B73" t="str">
        <x:v>MAT000072</x:v>
      </x:c>
      <x:c r="C73" t="str">
        <x:v>Cleaning Item 0072</x:v>
      </x:c>
      <x:c r="D73" t="str">
        <x:v>Cleaning</x:v>
      </x:c>
      <x:c r="E73" t="str">
        <x:v>SUP004</x:v>
      </x:c>
    </x:row>
    <x:row r="74">
      <x:c r="A74" t="str">
        <x:v>P0073</x:v>
      </x:c>
      <x:c r="B74" t="str">
        <x:v>MAT000073</x:v>
      </x:c>
      <x:c r="C74" t="str">
        <x:v>Beverages Item 0073</x:v>
      </x:c>
      <x:c r="D74" t="str">
        <x:v>Beverages</x:v>
      </x:c>
      <x:c r="E74" t="str">
        <x:v>SUP057</x:v>
      </x:c>
    </x:row>
    <x:row r="75">
      <x:c r="A75" t="str">
        <x:v>P0074</x:v>
      </x:c>
      <x:c r="B75" t="str">
        <x:v>MAT000074</x:v>
      </x:c>
      <x:c r="C75" t="str">
        <x:v>Dry Grocery Item 0074</x:v>
      </x:c>
      <x:c r="D75" t="str">
        <x:v>Dry Grocery</x:v>
      </x:c>
      <x:c r="E75" t="str">
        <x:v>SUP057</x:v>
      </x:c>
    </x:row>
    <x:row r="76">
      <x:c r="A76" t="str">
        <x:v>P0075</x:v>
      </x:c>
      <x:c r="B76" t="str">
        <x:v>MAT000075</x:v>
      </x:c>
      <x:c r="C76" t="str">
        <x:v>Household Item 0075</x:v>
      </x:c>
      <x:c r="D76" t="str">
        <x:v>Household</x:v>
      </x:c>
      <x:c r="E76" t="str">
        <x:v>SUP002</x:v>
      </x:c>
    </x:row>
    <x:row r="77">
      <x:c r="A77" t="str">
        <x:v>P0076</x:v>
      </x:c>
      <x:c r="B77" t="str">
        <x:v>MAT000076</x:v>
      </x:c>
      <x:c r="C77" t="str">
        <x:v>Personal Care Item 0076</x:v>
      </x:c>
      <x:c r="D77" t="str">
        <x:v>Personal Care</x:v>
      </x:c>
      <x:c r="E77" t="str">
        <x:v>SUP059</x:v>
      </x:c>
    </x:row>
    <x:row r="78">
      <x:c r="A78" t="str">
        <x:v>P0077</x:v>
      </x:c>
      <x:c r="B78" t="str">
        <x:v>MAT000077</x:v>
      </x:c>
      <x:c r="C78" t="str">
        <x:v>Packaging Item 0077</x:v>
      </x:c>
      <x:c r="D78" t="str">
        <x:v>Packaging</x:v>
      </x:c>
      <x:c r="E78" t="str">
        <x:v>SUP021</x:v>
      </x:c>
    </x:row>
    <x:row r="79">
      <x:c r="A79" t="str">
        <x:v>P0078</x:v>
      </x:c>
      <x:c r="B79" t="str">
        <x:v>MAT000078</x:v>
      </x:c>
      <x:c r="C79" t="str">
        <x:v>Hardware Item 0078</x:v>
      </x:c>
      <x:c r="D79" t="str">
        <x:v>Hardware</x:v>
      </x:c>
      <x:c r="E79" t="str">
        <x:v>SUP003</x:v>
      </x:c>
    </x:row>
    <x:row r="80">
      <x:c r="A80" t="str">
        <x:v>P0079</x:v>
      </x:c>
      <x:c r="B80" t="str">
        <x:v>MAT000079</x:v>
      </x:c>
      <x:c r="C80" t="str">
        <x:v>Electrical Item 0079</x:v>
      </x:c>
      <x:c r="D80" t="str">
        <x:v>Electrical</x:v>
      </x:c>
      <x:c r="E80" t="str">
        <x:v>SUP037</x:v>
      </x:c>
    </x:row>
    <x:row r="81">
      <x:c r="A81" t="str">
        <x:v>P0080</x:v>
      </x:c>
      <x:c r="B81" t="str">
        <x:v>MAT000080</x:v>
      </x:c>
      <x:c r="C81" t="str">
        <x:v>Cleaning Item 0080</x:v>
      </x:c>
      <x:c r="D81" t="str">
        <x:v>Cleaning</x:v>
      </x:c>
      <x:c r="E81" t="str">
        <x:v>SUP058</x:v>
      </x:c>
    </x:row>
    <x:row r="82">
      <x:c r="A82" t="str">
        <x:v>P0081</x:v>
      </x:c>
      <x:c r="B82" t="str">
        <x:v>MAT000081</x:v>
      </x:c>
      <x:c r="C82" t="str">
        <x:v>Beverages Item 0081</x:v>
      </x:c>
      <x:c r="D82" t="str">
        <x:v>Beverages</x:v>
      </x:c>
      <x:c r="E82" t="str">
        <x:v>SUP050</x:v>
      </x:c>
    </x:row>
    <x:row r="83">
      <x:c r="A83" t="str">
        <x:v>P0082</x:v>
      </x:c>
      <x:c r="B83" t="str">
        <x:v>MAT000082</x:v>
      </x:c>
      <x:c r="C83" t="str">
        <x:v>Dry Grocery Item 0082</x:v>
      </x:c>
      <x:c r="D83" t="str">
        <x:v>Dry Grocery</x:v>
      </x:c>
      <x:c r="E83" t="str">
        <x:v>SUP049</x:v>
      </x:c>
    </x:row>
    <x:row r="84">
      <x:c r="A84" t="str">
        <x:v>P0083</x:v>
      </x:c>
      <x:c r="B84" t="str">
        <x:v>MAT000083</x:v>
      </x:c>
      <x:c r="C84" t="str">
        <x:v>Household Item 0083</x:v>
      </x:c>
      <x:c r="D84" t="str">
        <x:v>Household</x:v>
      </x:c>
      <x:c r="E84" t="str">
        <x:v>SUP012</x:v>
      </x:c>
    </x:row>
    <x:row r="85">
      <x:c r="A85" t="str">
        <x:v>P0084</x:v>
      </x:c>
      <x:c r="B85" t="str">
        <x:v>MAT000084</x:v>
      </x:c>
      <x:c r="C85" t="str">
        <x:v>Personal Care Item 0084</x:v>
      </x:c>
      <x:c r="D85" t="str">
        <x:v>Personal Care</x:v>
      </x:c>
      <x:c r="E85" t="str">
        <x:v>SUP040</x:v>
      </x:c>
    </x:row>
    <x:row r="86">
      <x:c r="A86" t="str">
        <x:v>P0085</x:v>
      </x:c>
      <x:c r="B86" t="str">
        <x:v>MAT000085</x:v>
      </x:c>
      <x:c r="C86" t="str">
        <x:v>Packaging Item 0085</x:v>
      </x:c>
      <x:c r="D86" t="str">
        <x:v>Packaging</x:v>
      </x:c>
      <x:c r="E86" t="str">
        <x:v>SUP061</x:v>
      </x:c>
    </x:row>
    <x:row r="87">
      <x:c r="A87" t="str">
        <x:v>P0086</x:v>
      </x:c>
      <x:c r="B87" t="str">
        <x:v>MAT000086</x:v>
      </x:c>
      <x:c r="C87" t="str">
        <x:v>Hardware Item 0086</x:v>
      </x:c>
      <x:c r="D87" t="str">
        <x:v>Hardware</x:v>
      </x:c>
      <x:c r="E87" t="str">
        <x:v>SUP001</x:v>
      </x:c>
    </x:row>
    <x:row r="88">
      <x:c r="A88" t="str">
        <x:v>P0087</x:v>
      </x:c>
      <x:c r="B88" t="str">
        <x:v>MAT000087</x:v>
      </x:c>
      <x:c r="C88" t="str">
        <x:v>Electrical Item 0087</x:v>
      </x:c>
      <x:c r="D88" t="str">
        <x:v>Electrical</x:v>
      </x:c>
      <x:c r="E88" t="str">
        <x:v>SUP038</x:v>
      </x:c>
    </x:row>
    <x:row r="89">
      <x:c r="A89" t="str">
        <x:v>P0088</x:v>
      </x:c>
      <x:c r="B89" t="str">
        <x:v>MAT000088</x:v>
      </x:c>
      <x:c r="C89" t="str">
        <x:v>Cleaning Item 0088</x:v>
      </x:c>
      <x:c r="D89" t="str">
        <x:v>Cleaning</x:v>
      </x:c>
      <x:c r="E89" t="str">
        <x:v>SUP034</x:v>
      </x:c>
    </x:row>
    <x:row r="90">
      <x:c r="A90" t="str">
        <x:v>P0089</x:v>
      </x:c>
      <x:c r="B90" t="str">
        <x:v>MAT000089</x:v>
      </x:c>
      <x:c r="C90" t="str">
        <x:v>Beverages Item 0089</x:v>
      </x:c>
      <x:c r="D90" t="str">
        <x:v>Beverages</x:v>
      </x:c>
      <x:c r="E90" t="str">
        <x:v>SUP019</x:v>
      </x:c>
    </x:row>
    <x:row r="91">
      <x:c r="A91" t="str">
        <x:v>P0090</x:v>
      </x:c>
      <x:c r="B91" t="str">
        <x:v>MAT000090</x:v>
      </x:c>
      <x:c r="C91" t="str">
        <x:v>Dry Grocery Item 0090</x:v>
      </x:c>
      <x:c r="D91" t="str">
        <x:v>Dry Grocery</x:v>
      </x:c>
      <x:c r="E91" t="str">
        <x:v>SUP053</x:v>
      </x:c>
    </x:row>
    <x:row r="92">
      <x:c r="A92" t="str">
        <x:v>P0091</x:v>
      </x:c>
      <x:c r="B92" t="str">
        <x:v>MAT000091</x:v>
      </x:c>
      <x:c r="C92" t="str">
        <x:v>Household Item 0091</x:v>
      </x:c>
      <x:c r="D92" t="str">
        <x:v>Household</x:v>
      </x:c>
      <x:c r="E92" t="str">
        <x:v>SUP029</x:v>
      </x:c>
    </x:row>
    <x:row r="93">
      <x:c r="A93" t="str">
        <x:v>P0092</x:v>
      </x:c>
      <x:c r="B93" t="str">
        <x:v>MAT000092</x:v>
      </x:c>
      <x:c r="C93" t="str">
        <x:v>Personal Care Item 0092</x:v>
      </x:c>
      <x:c r="D93" t="str">
        <x:v>Personal Care</x:v>
      </x:c>
      <x:c r="E93" t="str">
        <x:v>SUP020</x:v>
      </x:c>
    </x:row>
    <x:row r="94">
      <x:c r="A94" t="str">
        <x:v>P0093</x:v>
      </x:c>
      <x:c r="B94" t="str">
        <x:v>MAT000093</x:v>
      </x:c>
      <x:c r="C94" t="str">
        <x:v>Packaging Item 0093</x:v>
      </x:c>
      <x:c r="D94" t="str">
        <x:v>Packaging</x:v>
      </x:c>
      <x:c r="E94" t="str">
        <x:v>SUP057</x:v>
      </x:c>
    </x:row>
    <x:row r="95">
      <x:c r="A95" t="str">
        <x:v>P0094</x:v>
      </x:c>
      <x:c r="B95" t="str">
        <x:v>MAT000094</x:v>
      </x:c>
      <x:c r="C95" t="str">
        <x:v>Hardware Item 0094</x:v>
      </x:c>
      <x:c r="D95" t="str">
        <x:v>Hardware</x:v>
      </x:c>
      <x:c r="E95" t="str">
        <x:v>SUP010</x:v>
      </x:c>
    </x:row>
    <x:row r="96">
      <x:c r="A96" t="str">
        <x:v>P0095</x:v>
      </x:c>
      <x:c r="B96" t="str">
        <x:v>MAT000095</x:v>
      </x:c>
      <x:c r="C96" t="str">
        <x:v>Electrical Item 0095</x:v>
      </x:c>
      <x:c r="D96" t="str">
        <x:v>Electrical</x:v>
      </x:c>
      <x:c r="E96" t="str">
        <x:v>SUP049</x:v>
      </x:c>
    </x:row>
    <x:row r="97">
      <x:c r="A97" t="str">
        <x:v>P0096</x:v>
      </x:c>
      <x:c r="B97" t="str">
        <x:v>MAT000096</x:v>
      </x:c>
      <x:c r="C97" t="str">
        <x:v>Cleaning Item 0096</x:v>
      </x:c>
      <x:c r="D97" t="str">
        <x:v>Cleaning</x:v>
      </x:c>
      <x:c r="E97" t="str">
        <x:v>SUP029</x:v>
      </x:c>
    </x:row>
    <x:row r="98">
      <x:c r="A98" t="str">
        <x:v>P0097</x:v>
      </x:c>
      <x:c r="B98" t="str">
        <x:v>MAT000097</x:v>
      </x:c>
      <x:c r="C98" t="str">
        <x:v>Beverages Item 0097</x:v>
      </x:c>
      <x:c r="D98" t="str">
        <x:v>Beverages</x:v>
      </x:c>
      <x:c r="E98" t="str">
        <x:v>SUP054</x:v>
      </x:c>
    </x:row>
    <x:row r="99">
      <x:c r="A99" t="str">
        <x:v>P0098</x:v>
      </x:c>
      <x:c r="B99" t="str">
        <x:v>MAT000098</x:v>
      </x:c>
      <x:c r="C99" t="str">
        <x:v>Dry Grocery Item 0098</x:v>
      </x:c>
      <x:c r="D99" t="str">
        <x:v>Dry Grocery</x:v>
      </x:c>
      <x:c r="E99" t="str">
        <x:v>SUP019</x:v>
      </x:c>
    </x:row>
    <x:row r="100">
      <x:c r="A100" t="str">
        <x:v>P0099</x:v>
      </x:c>
      <x:c r="B100" t="str">
        <x:v>MAT000099</x:v>
      </x:c>
      <x:c r="C100" t="str">
        <x:v>Household Item 0099</x:v>
      </x:c>
      <x:c r="D100" t="str">
        <x:v>Household</x:v>
      </x:c>
      <x:c r="E100" t="str">
        <x:v>SUP024</x:v>
      </x:c>
    </x:row>
    <x:row r="101">
      <x:c r="A101" t="str">
        <x:v>P0100</x:v>
      </x:c>
      <x:c r="B101" t="str">
        <x:v>MAT000100</x:v>
      </x:c>
      <x:c r="C101" t="str">
        <x:v>Personal Care Item 0100</x:v>
      </x:c>
      <x:c r="D101" t="str">
        <x:v>Personal Care</x:v>
      </x:c>
      <x:c r="E101" t="str">
        <x:v>SUP058</x:v>
      </x:c>
    </x:row>
    <x:row r="102">
      <x:c r="A102" t="str">
        <x:v>P0101</x:v>
      </x:c>
      <x:c r="B102" t="str">
        <x:v>MAT000101</x:v>
      </x:c>
      <x:c r="C102" t="str">
        <x:v>Packaging Item 0101</x:v>
      </x:c>
      <x:c r="D102" t="str">
        <x:v>Packaging</x:v>
      </x:c>
      <x:c r="E102" t="str">
        <x:v>SUP047</x:v>
      </x:c>
    </x:row>
    <x:row r="103">
      <x:c r="A103" t="str">
        <x:v>P0102</x:v>
      </x:c>
      <x:c r="B103" t="str">
        <x:v>MAT000102</x:v>
      </x:c>
      <x:c r="C103" t="str">
        <x:v>Hardware Item 0102</x:v>
      </x:c>
      <x:c r="D103" t="str">
        <x:v>Hardware</x:v>
      </x:c>
      <x:c r="E103" t="str">
        <x:v>SUP031</x:v>
      </x:c>
    </x:row>
    <x:row r="104">
      <x:c r="A104" t="str">
        <x:v>P0103</x:v>
      </x:c>
      <x:c r="B104" t="str">
        <x:v>MAT000103</x:v>
      </x:c>
      <x:c r="C104" t="str">
        <x:v>Electrical Item 0103</x:v>
      </x:c>
      <x:c r="D104" t="str">
        <x:v>Electrical</x:v>
      </x:c>
      <x:c r="E104" t="str">
        <x:v>SUP003</x:v>
      </x:c>
    </x:row>
    <x:row r="105">
      <x:c r="A105" t="str">
        <x:v>P0104</x:v>
      </x:c>
      <x:c r="B105" t="str">
        <x:v>MAT000104</x:v>
      </x:c>
      <x:c r="C105" t="str">
        <x:v>Cleaning Item 0104</x:v>
      </x:c>
      <x:c r="D105" t="str">
        <x:v>Cleaning</x:v>
      </x:c>
      <x:c r="E105" t="str">
        <x:v>SUP050</x:v>
      </x:c>
    </x:row>
    <x:row r="106">
      <x:c r="A106" t="str">
        <x:v>P0105</x:v>
      </x:c>
      <x:c r="B106" t="str">
        <x:v>MAT000105</x:v>
      </x:c>
      <x:c r="C106" t="str">
        <x:v>Beverages Item 0105</x:v>
      </x:c>
      <x:c r="D106" t="str">
        <x:v>Beverages</x:v>
      </x:c>
      <x:c r="E106" t="str">
        <x:v>SUP051</x:v>
      </x:c>
    </x:row>
    <x:row r="107">
      <x:c r="A107" t="str">
        <x:v>P0106</x:v>
      </x:c>
      <x:c r="B107" t="str">
        <x:v>MAT000106</x:v>
      </x:c>
      <x:c r="C107" t="str">
        <x:v>Dry Grocery Item 0106</x:v>
      </x:c>
      <x:c r="D107" t="str">
        <x:v>Dry Grocery</x:v>
      </x:c>
      <x:c r="E107" t="str">
        <x:v>SUP024</x:v>
      </x:c>
    </x:row>
    <x:row r="108">
      <x:c r="A108" t="str">
        <x:v>P0107</x:v>
      </x:c>
      <x:c r="B108" t="str">
        <x:v>MAT000107</x:v>
      </x:c>
      <x:c r="C108" t="str">
        <x:v>Household Item 0107</x:v>
      </x:c>
      <x:c r="D108" t="str">
        <x:v>Household</x:v>
      </x:c>
      <x:c r="E108" t="str">
        <x:v>SUP046</x:v>
      </x:c>
    </x:row>
    <x:row r="109">
      <x:c r="A109" t="str">
        <x:v>P0108</x:v>
      </x:c>
      <x:c r="B109" t="str">
        <x:v>MAT000108</x:v>
      </x:c>
      <x:c r="C109" t="str">
        <x:v>Personal Care Item 0108</x:v>
      </x:c>
      <x:c r="D109" t="str">
        <x:v>Personal Care</x:v>
      </x:c>
      <x:c r="E109" t="str">
        <x:v>SUP001</x:v>
      </x:c>
    </x:row>
    <x:row r="110">
      <x:c r="A110" t="str">
        <x:v>P0109</x:v>
      </x:c>
      <x:c r="B110" t="str">
        <x:v>MAT000109</x:v>
      </x:c>
      <x:c r="C110" t="str">
        <x:v>Packaging Item 0109</x:v>
      </x:c>
      <x:c r="D110" t="str">
        <x:v>Packaging</x:v>
      </x:c>
      <x:c r="E110" t="str">
        <x:v>SUP027</x:v>
      </x:c>
    </x:row>
    <x:row r="111">
      <x:c r="A111" t="str">
        <x:v>P0110</x:v>
      </x:c>
      <x:c r="B111" t="str">
        <x:v>MAT000110</x:v>
      </x:c>
      <x:c r="C111" t="str">
        <x:v>Hardware Item 0110</x:v>
      </x:c>
      <x:c r="D111" t="str">
        <x:v>Hardware</x:v>
      </x:c>
      <x:c r="E111" t="str">
        <x:v>SUP019</x:v>
      </x:c>
    </x:row>
    <x:row r="112">
      <x:c r="A112" t="str">
        <x:v>P0111</x:v>
      </x:c>
      <x:c r="B112" t="str">
        <x:v>MAT000111</x:v>
      </x:c>
      <x:c r="C112" t="str">
        <x:v>Electrical Item 0111</x:v>
      </x:c>
      <x:c r="D112" t="str">
        <x:v>Electrical</x:v>
      </x:c>
      <x:c r="E112" t="str">
        <x:v>SUP033</x:v>
      </x:c>
    </x:row>
    <x:row r="113">
      <x:c r="A113" t="str">
        <x:v>P0112</x:v>
      </x:c>
      <x:c r="B113" t="str">
        <x:v>MAT000112</x:v>
      </x:c>
      <x:c r="C113" t="str">
        <x:v>Cleaning Item 0112</x:v>
      </x:c>
      <x:c r="D113" t="str">
        <x:v>Cleaning</x:v>
      </x:c>
      <x:c r="E113" t="str">
        <x:v>SUP009</x:v>
      </x:c>
    </x:row>
    <x:row r="114">
      <x:c r="A114" t="str">
        <x:v>P0113</x:v>
      </x:c>
      <x:c r="B114" t="str">
        <x:v>MAT000113</x:v>
      </x:c>
      <x:c r="C114" t="str">
        <x:v>Beverages Item 0113</x:v>
      </x:c>
      <x:c r="D114" t="str">
        <x:v>Beverages</x:v>
      </x:c>
      <x:c r="E114" t="str">
        <x:v>SUP048</x:v>
      </x:c>
    </x:row>
    <x:row r="115">
      <x:c r="A115" t="str">
        <x:v>P0114</x:v>
      </x:c>
      <x:c r="B115" t="str">
        <x:v>MAT000114</x:v>
      </x:c>
      <x:c r="C115" t="str">
        <x:v>Dry Grocery Item 0114</x:v>
      </x:c>
      <x:c r="D115" t="str">
        <x:v>Dry Grocery</x:v>
      </x:c>
      <x:c r="E115" t="str">
        <x:v>SUP004</x:v>
      </x:c>
    </x:row>
    <x:row r="116">
      <x:c r="A116" t="str">
        <x:v>P0115</x:v>
      </x:c>
      <x:c r="B116" t="str">
        <x:v>MAT000115</x:v>
      </x:c>
      <x:c r="C116" t="str">
        <x:v>Household Item 0115</x:v>
      </x:c>
      <x:c r="D116" t="str">
        <x:v>Household</x:v>
      </x:c>
      <x:c r="E116" t="str">
        <x:v>SUP041</x:v>
      </x:c>
    </x:row>
    <x:row r="117">
      <x:c r="A117" t="str">
        <x:v>P0116</x:v>
      </x:c>
      <x:c r="B117" t="str">
        <x:v>MAT000116</x:v>
      </x:c>
      <x:c r="C117" t="str">
        <x:v>Personal Care Item 0116</x:v>
      </x:c>
      <x:c r="D117" t="str">
        <x:v>Personal Care</x:v>
      </x:c>
      <x:c r="E117" t="str">
        <x:v>SUP042</x:v>
      </x:c>
    </x:row>
    <x:row r="118">
      <x:c r="A118" t="str">
        <x:v>P0117</x:v>
      </x:c>
      <x:c r="B118" t="str">
        <x:v>MAT000117</x:v>
      </x:c>
      <x:c r="C118" t="str">
        <x:v>Packaging Item 0117</x:v>
      </x:c>
      <x:c r="D118" t="str">
        <x:v>Packaging</x:v>
      </x:c>
      <x:c r="E118" t="str">
        <x:v>SUP051</x:v>
      </x:c>
    </x:row>
    <x:row r="119">
      <x:c r="A119" t="str">
        <x:v>P0118</x:v>
      </x:c>
      <x:c r="B119" t="str">
        <x:v>MAT000118</x:v>
      </x:c>
      <x:c r="C119" t="str">
        <x:v>Hardware Item 0118</x:v>
      </x:c>
      <x:c r="D119" t="str">
        <x:v>Hardware</x:v>
      </x:c>
      <x:c r="E119" t="str">
        <x:v>SUP002</x:v>
      </x:c>
    </x:row>
    <x:row r="120">
      <x:c r="A120" t="str">
        <x:v>P0119</x:v>
      </x:c>
      <x:c r="B120" t="str">
        <x:v>MAT000119</x:v>
      </x:c>
      <x:c r="C120" t="str">
        <x:v>Electrical Item 0119</x:v>
      </x:c>
      <x:c r="D120" t="str">
        <x:v>Electrical</x:v>
      </x:c>
      <x:c r="E120" t="str">
        <x:v>SUP015</x:v>
      </x:c>
    </x:row>
    <x:row r="121">
      <x:c r="A121" t="str">
        <x:v>P0120</x:v>
      </x:c>
      <x:c r="B121" t="str">
        <x:v>MAT000120</x:v>
      </x:c>
      <x:c r="C121" t="str">
        <x:v>Cleaning Item 0120</x:v>
      </x:c>
      <x:c r="D121" t="str">
        <x:v>Cleaning</x:v>
      </x:c>
      <x:c r="E121" t="str">
        <x:v>SUP003</x:v>
      </x:c>
    </x:row>
    <x:row r="122">
      <x:c r="A122" t="str">
        <x:v>P0121</x:v>
      </x:c>
      <x:c r="B122" t="str">
        <x:v>MAT000121</x:v>
      </x:c>
      <x:c r="C122" t="str">
        <x:v>Beverages Item 0121</x:v>
      </x:c>
      <x:c r="D122" t="str">
        <x:v>Beverages</x:v>
      </x:c>
      <x:c r="E122" t="str">
        <x:v>SUP018</x:v>
      </x:c>
    </x:row>
    <x:row r="123">
      <x:c r="A123" t="str">
        <x:v>P0122</x:v>
      </x:c>
      <x:c r="B123" t="str">
        <x:v>MAT000122</x:v>
      </x:c>
      <x:c r="C123" t="str">
        <x:v>Dry Grocery Item 0122</x:v>
      </x:c>
      <x:c r="D123" t="str">
        <x:v>Dry Grocery</x:v>
      </x:c>
      <x:c r="E123" t="str">
        <x:v>SUP034</x:v>
      </x:c>
    </x:row>
    <x:row r="124">
      <x:c r="A124" t="str">
        <x:v>P0123</x:v>
      </x:c>
      <x:c r="B124" t="str">
        <x:v>MAT000123</x:v>
      </x:c>
      <x:c r="C124" t="str">
        <x:v>Household Item 0123</x:v>
      </x:c>
      <x:c r="D124" t="str">
        <x:v>Household</x:v>
      </x:c>
      <x:c r="E124" t="str">
        <x:v>SUP042</x:v>
      </x:c>
    </x:row>
    <x:row r="125">
      <x:c r="A125" t="str">
        <x:v>P0124</x:v>
      </x:c>
      <x:c r="B125" t="str">
        <x:v>MAT000124</x:v>
      </x:c>
      <x:c r="C125" t="str">
        <x:v>Personal Care Item 0124</x:v>
      </x:c>
      <x:c r="D125" t="str">
        <x:v>Personal Care</x:v>
      </x:c>
      <x:c r="E125" t="str">
        <x:v>SUP048</x:v>
      </x:c>
    </x:row>
    <x:row r="126">
      <x:c r="A126" t="str">
        <x:v>P0125</x:v>
      </x:c>
      <x:c r="B126" t="str">
        <x:v>MAT000125</x:v>
      </x:c>
      <x:c r="C126" t="str">
        <x:v>Packaging Item 0125</x:v>
      </x:c>
      <x:c r="D126" t="str">
        <x:v>Packaging</x:v>
      </x:c>
      <x:c r="E126" t="str">
        <x:v>SUP057</x:v>
      </x:c>
    </x:row>
    <x:row r="127">
      <x:c r="A127" t="str">
        <x:v>P0126</x:v>
      </x:c>
      <x:c r="B127" t="str">
        <x:v>MAT000126</x:v>
      </x:c>
      <x:c r="C127" t="str">
        <x:v>Hardware Item 0126</x:v>
      </x:c>
      <x:c r="D127" t="str">
        <x:v>Hardware</x:v>
      </x:c>
      <x:c r="E127" t="str">
        <x:v>SUP021</x:v>
      </x:c>
    </x:row>
    <x:row r="128">
      <x:c r="A128" t="str">
        <x:v>P0127</x:v>
      </x:c>
      <x:c r="B128" t="str">
        <x:v>MAT000127</x:v>
      </x:c>
      <x:c r="C128" t="str">
        <x:v>Electrical Item 0127</x:v>
      </x:c>
      <x:c r="D128" t="str">
        <x:v>Electrical</x:v>
      </x:c>
      <x:c r="E128" t="str">
        <x:v>SUP025</x:v>
      </x:c>
    </x:row>
    <x:row r="129">
      <x:c r="A129" t="str">
        <x:v>P0128</x:v>
      </x:c>
      <x:c r="B129" t="str">
        <x:v>MAT000128</x:v>
      </x:c>
      <x:c r="C129" t="str">
        <x:v>Cleaning Item 0128</x:v>
      </x:c>
      <x:c r="D129" t="str">
        <x:v>Cleaning</x:v>
      </x:c>
      <x:c r="E129" t="str">
        <x:v>SUP026</x:v>
      </x:c>
    </x:row>
    <x:row r="130">
      <x:c r="A130" t="str">
        <x:v>P0129</x:v>
      </x:c>
      <x:c r="B130" t="str">
        <x:v>MAT000129</x:v>
      </x:c>
      <x:c r="C130" t="str">
        <x:v>Beverages Item 0129</x:v>
      </x:c>
      <x:c r="D130" t="str">
        <x:v>Beverages</x:v>
      </x:c>
      <x:c r="E130" t="str">
        <x:v>SUP058</x:v>
      </x:c>
    </x:row>
    <x:row r="131">
      <x:c r="A131" t="str">
        <x:v>P0130</x:v>
      </x:c>
      <x:c r="B131" t="str">
        <x:v>MAT000130</x:v>
      </x:c>
      <x:c r="C131" t="str">
        <x:v>Dry Grocery Item 0130</x:v>
      </x:c>
      <x:c r="D131" t="str">
        <x:v>Dry Grocery</x:v>
      </x:c>
      <x:c r="E131" t="str">
        <x:v>SUP064</x:v>
      </x:c>
    </x:row>
    <x:row r="132">
      <x:c r="A132" t="str">
        <x:v>P0131</x:v>
      </x:c>
      <x:c r="B132" t="str">
        <x:v>MAT000131</x:v>
      </x:c>
      <x:c r="C132" t="str">
        <x:v>Household Item 0131</x:v>
      </x:c>
      <x:c r="D132" t="str">
        <x:v>Household</x:v>
      </x:c>
      <x:c r="E132" t="str">
        <x:v>SUP041</x:v>
      </x:c>
    </x:row>
    <x:row r="133">
      <x:c r="A133" t="str">
        <x:v>P0132</x:v>
      </x:c>
      <x:c r="B133" t="str">
        <x:v>MAT000132</x:v>
      </x:c>
      <x:c r="C133" t="str">
        <x:v>Personal Care Item 0132</x:v>
      </x:c>
      <x:c r="D133" t="str">
        <x:v>Personal Care</x:v>
      </x:c>
      <x:c r="E133" t="str">
        <x:v>SUP040</x:v>
      </x:c>
    </x:row>
    <x:row r="134">
      <x:c r="A134" t="str">
        <x:v>P0133</x:v>
      </x:c>
      <x:c r="B134" t="str">
        <x:v>MAT000133</x:v>
      </x:c>
      <x:c r="C134" t="str">
        <x:v>Packaging Item 0133</x:v>
      </x:c>
      <x:c r="D134" t="str">
        <x:v>Packaging</x:v>
      </x:c>
      <x:c r="E134" t="str">
        <x:v>SUP018</x:v>
      </x:c>
    </x:row>
    <x:row r="135">
      <x:c r="A135" t="str">
        <x:v>P0134</x:v>
      </x:c>
      <x:c r="B135" t="str">
        <x:v>MAT000134</x:v>
      </x:c>
      <x:c r="C135" t="str">
        <x:v>Hardware Item 0134</x:v>
      </x:c>
      <x:c r="D135" t="str">
        <x:v>Hardware</x:v>
      </x:c>
      <x:c r="E135" t="str">
        <x:v>SUP028</x:v>
      </x:c>
    </x:row>
    <x:row r="136">
      <x:c r="A136" t="str">
        <x:v>P0135</x:v>
      </x:c>
      <x:c r="B136" t="str">
        <x:v>MAT000135</x:v>
      </x:c>
      <x:c r="C136" t="str">
        <x:v>Electrical Item 0135</x:v>
      </x:c>
      <x:c r="D136" t="str">
        <x:v>Electrical</x:v>
      </x:c>
      <x:c r="E136" t="str">
        <x:v>SUP018</x:v>
      </x:c>
    </x:row>
    <x:row r="137">
      <x:c r="A137" t="str">
        <x:v>P0136</x:v>
      </x:c>
      <x:c r="B137" t="str">
        <x:v>MAT000136</x:v>
      </x:c>
      <x:c r="C137" t="str">
        <x:v>Cleaning Item 0136</x:v>
      </x:c>
      <x:c r="D137" t="str">
        <x:v>Cleaning</x:v>
      </x:c>
      <x:c r="E137" t="str">
        <x:v>SUP021</x:v>
      </x:c>
    </x:row>
    <x:row r="138">
      <x:c r="A138" t="str">
        <x:v>P0137</x:v>
      </x:c>
      <x:c r="B138" t="str">
        <x:v>MAT000137</x:v>
      </x:c>
      <x:c r="C138" t="str">
        <x:v>Beverages Item 0137</x:v>
      </x:c>
      <x:c r="D138" t="str">
        <x:v>Beverages</x:v>
      </x:c>
      <x:c r="E138" t="str">
        <x:v>SUP002</x:v>
      </x:c>
    </x:row>
    <x:row r="139">
      <x:c r="A139" t="str">
        <x:v>P0138</x:v>
      </x:c>
      <x:c r="B139" t="str">
        <x:v>MAT000138</x:v>
      </x:c>
      <x:c r="C139" t="str">
        <x:v>Dry Grocery Item 0138</x:v>
      </x:c>
      <x:c r="D139" t="str">
        <x:v>Dry Grocery</x:v>
      </x:c>
      <x:c r="E139" t="str">
        <x:v>SUP032</x:v>
      </x:c>
    </x:row>
    <x:row r="140">
      <x:c r="A140" t="str">
        <x:v>P0139</x:v>
      </x:c>
      <x:c r="B140" t="str">
        <x:v>MAT000139</x:v>
      </x:c>
      <x:c r="C140" t="str">
        <x:v>Household Item 0139</x:v>
      </x:c>
      <x:c r="D140" t="str">
        <x:v>Household</x:v>
      </x:c>
      <x:c r="E140" t="str">
        <x:v>SUP055</x:v>
      </x:c>
    </x:row>
    <x:row r="141">
      <x:c r="A141" t="str">
        <x:v>P0140</x:v>
      </x:c>
      <x:c r="B141" t="str">
        <x:v>MAT000140</x:v>
      </x:c>
      <x:c r="C141" t="str">
        <x:v>Personal Care Item 0140</x:v>
      </x:c>
      <x:c r="D141" t="str">
        <x:v>Personal Care</x:v>
      </x:c>
      <x:c r="E141" t="str">
        <x:v>SUP003</x:v>
      </x:c>
    </x:row>
    <x:row r="142">
      <x:c r="A142" t="str">
        <x:v>P0141</x:v>
      </x:c>
      <x:c r="B142" t="str">
        <x:v>MAT000141</x:v>
      </x:c>
      <x:c r="C142" t="str">
        <x:v>Packaging Item 0141</x:v>
      </x:c>
      <x:c r="D142" t="str">
        <x:v>Packaging</x:v>
      </x:c>
      <x:c r="E142" t="str">
        <x:v>SUP005</x:v>
      </x:c>
    </x:row>
    <x:row r="143">
      <x:c r="A143" t="str">
        <x:v>P0142</x:v>
      </x:c>
      <x:c r="B143" t="str">
        <x:v>MAT000142</x:v>
      </x:c>
      <x:c r="C143" t="str">
        <x:v>Hardware Item 0142</x:v>
      </x:c>
      <x:c r="D143" t="str">
        <x:v>Hardware</x:v>
      </x:c>
      <x:c r="E143" t="str">
        <x:v>SUP010</x:v>
      </x:c>
    </x:row>
    <x:row r="144">
      <x:c r="A144" t="str">
        <x:v>P0143</x:v>
      </x:c>
      <x:c r="B144" t="str">
        <x:v>MAT000143</x:v>
      </x:c>
      <x:c r="C144" t="str">
        <x:v>Electrical Item 0143</x:v>
      </x:c>
      <x:c r="D144" t="str">
        <x:v>Electrical</x:v>
      </x:c>
      <x:c r="E144" t="str">
        <x:v>SUP046</x:v>
      </x:c>
    </x:row>
    <x:row r="145">
      <x:c r="A145" t="str">
        <x:v>P0144</x:v>
      </x:c>
      <x:c r="B145" t="str">
        <x:v>MAT000144</x:v>
      </x:c>
      <x:c r="C145" t="str">
        <x:v>Cleaning Item 0144</x:v>
      </x:c>
      <x:c r="D145" t="str">
        <x:v>Cleaning</x:v>
      </x:c>
      <x:c r="E145" t="str">
        <x:v>SUP042</x:v>
      </x:c>
    </x:row>
    <x:row r="146">
      <x:c r="A146" t="str">
        <x:v>P0145</x:v>
      </x:c>
      <x:c r="B146" t="str">
        <x:v>MAT000145</x:v>
      </x:c>
      <x:c r="C146" t="str">
        <x:v>Beverages Item 0145</x:v>
      </x:c>
      <x:c r="D146" t="str">
        <x:v>Beverages</x:v>
      </x:c>
      <x:c r="E146" t="str">
        <x:v>SUP020</x:v>
      </x:c>
    </x:row>
    <x:row r="147">
      <x:c r="A147" t="str">
        <x:v>P0146</x:v>
      </x:c>
      <x:c r="B147" t="str">
        <x:v>MAT000146</x:v>
      </x:c>
      <x:c r="C147" t="str">
        <x:v>Dry Grocery Item 0146</x:v>
      </x:c>
      <x:c r="D147" t="str">
        <x:v>Dry Grocery</x:v>
      </x:c>
      <x:c r="E147" t="str">
        <x:v>SUP011</x:v>
      </x:c>
    </x:row>
    <x:row r="148">
      <x:c r="A148" t="str">
        <x:v>P0147</x:v>
      </x:c>
      <x:c r="B148" t="str">
        <x:v>MAT000147</x:v>
      </x:c>
      <x:c r="C148" t="str">
        <x:v>Household Item 0147</x:v>
      </x:c>
      <x:c r="D148" t="str">
        <x:v>Household</x:v>
      </x:c>
      <x:c r="E148" t="str">
        <x:v>SUP005</x:v>
      </x:c>
    </x:row>
    <x:row r="149">
      <x:c r="A149" t="str">
        <x:v>P0148</x:v>
      </x:c>
      <x:c r="B149" t="str">
        <x:v>MAT000148</x:v>
      </x:c>
      <x:c r="C149" t="str">
        <x:v>Personal Care Item 0148</x:v>
      </x:c>
      <x:c r="D149" t="str">
        <x:v>Personal Care</x:v>
      </x:c>
      <x:c r="E149" t="str">
        <x:v>SUP029</x:v>
      </x:c>
    </x:row>
    <x:row r="150">
      <x:c r="A150" t="str">
        <x:v>P0149</x:v>
      </x:c>
      <x:c r="B150" t="str">
        <x:v>MAT000149</x:v>
      </x:c>
      <x:c r="C150" t="str">
        <x:v>Packaging Item 0149</x:v>
      </x:c>
      <x:c r="D150" t="str">
        <x:v>Packaging</x:v>
      </x:c>
      <x:c r="E150" t="str">
        <x:v>SUP004</x:v>
      </x:c>
    </x:row>
    <x:row r="151">
      <x:c r="A151" t="str">
        <x:v>P0150</x:v>
      </x:c>
      <x:c r="B151" t="str">
        <x:v>MAT000150</x:v>
      </x:c>
      <x:c r="C151" t="str">
        <x:v>Hardware Item 0150</x:v>
      </x:c>
      <x:c r="D151" t="str">
        <x:v>Hardware</x:v>
      </x:c>
      <x:c r="E151" t="str">
        <x:v>SUP060</x:v>
      </x:c>
    </x:row>
    <x:row r="152">
      <x:c r="A152" t="str">
        <x:v>P0151</x:v>
      </x:c>
      <x:c r="B152" t="str">
        <x:v>MAT000151</x:v>
      </x:c>
      <x:c r="C152" t="str">
        <x:v>Electrical Item 0151</x:v>
      </x:c>
      <x:c r="D152" t="str">
        <x:v>Electrical</x:v>
      </x:c>
      <x:c r="E152" t="str">
        <x:v>SUP060</x:v>
      </x:c>
    </x:row>
    <x:row r="153">
      <x:c r="A153" t="str">
        <x:v>P0152</x:v>
      </x:c>
      <x:c r="B153" t="str">
        <x:v>MAT000152</x:v>
      </x:c>
      <x:c r="C153" t="str">
        <x:v>Cleaning Item 0152</x:v>
      </x:c>
      <x:c r="D153" t="str">
        <x:v>Cleaning</x:v>
      </x:c>
      <x:c r="E153" t="str">
        <x:v>SUP042</x:v>
      </x:c>
    </x:row>
    <x:row r="154">
      <x:c r="A154" t="str">
        <x:v>P0153</x:v>
      </x:c>
      <x:c r="B154" t="str">
        <x:v>MAT000153</x:v>
      </x:c>
      <x:c r="C154" t="str">
        <x:v>Beverages Item 0153</x:v>
      </x:c>
      <x:c r="D154" t="str">
        <x:v>Beverages</x:v>
      </x:c>
      <x:c r="E154" t="str">
        <x:v>SUP041</x:v>
      </x:c>
    </x:row>
    <x:row r="155">
      <x:c r="A155" t="str">
        <x:v>P0154</x:v>
      </x:c>
      <x:c r="B155" t="str">
        <x:v>MAT000154</x:v>
      </x:c>
      <x:c r="C155" t="str">
        <x:v>Dry Grocery Item 0154</x:v>
      </x:c>
      <x:c r="D155" t="str">
        <x:v>Dry Grocery</x:v>
      </x:c>
      <x:c r="E155" t="str">
        <x:v>SUP014</x:v>
      </x:c>
    </x:row>
    <x:row r="156">
      <x:c r="A156" t="str">
        <x:v>P0155</x:v>
      </x:c>
      <x:c r="B156" t="str">
        <x:v>MAT000155</x:v>
      </x:c>
      <x:c r="C156" t="str">
        <x:v>Household Item 0155</x:v>
      </x:c>
      <x:c r="D156" t="str">
        <x:v>Household</x:v>
      </x:c>
      <x:c r="E156" t="str">
        <x:v>SUP052</x:v>
      </x:c>
    </x:row>
    <x:row r="157">
      <x:c r="A157" t="str">
        <x:v>P0156</x:v>
      </x:c>
      <x:c r="B157" t="str">
        <x:v>MAT000156</x:v>
      </x:c>
      <x:c r="C157" t="str">
        <x:v>Personal Care Item 0156</x:v>
      </x:c>
      <x:c r="D157" t="str">
        <x:v>Personal Care</x:v>
      </x:c>
      <x:c r="E157" t="str">
        <x:v>SUP061</x:v>
      </x:c>
    </x:row>
    <x:row r="158">
      <x:c r="A158" t="str">
        <x:v>P0157</x:v>
      </x:c>
      <x:c r="B158" t="str">
        <x:v>MAT000157</x:v>
      </x:c>
      <x:c r="C158" t="str">
        <x:v>Packaging Item 0157</x:v>
      </x:c>
      <x:c r="D158" t="str">
        <x:v>Packaging</x:v>
      </x:c>
      <x:c r="E158" t="str">
        <x:v>SUP059</x:v>
      </x:c>
    </x:row>
    <x:row r="159">
      <x:c r="A159" t="str">
        <x:v>P0158</x:v>
      </x:c>
      <x:c r="B159" t="str">
        <x:v>MAT000158</x:v>
      </x:c>
      <x:c r="C159" t="str">
        <x:v>Hardware Item 0158</x:v>
      </x:c>
      <x:c r="D159" t="str">
        <x:v>Hardware</x:v>
      </x:c>
      <x:c r="E159" t="str">
        <x:v>SUP018</x:v>
      </x:c>
    </x:row>
    <x:row r="160">
      <x:c r="A160" t="str">
        <x:v>P0159</x:v>
      </x:c>
      <x:c r="B160" t="str">
        <x:v>MAT000159</x:v>
      </x:c>
      <x:c r="C160" t="str">
        <x:v>Electrical Item 0159</x:v>
      </x:c>
      <x:c r="D160" t="str">
        <x:v>Electrical</x:v>
      </x:c>
      <x:c r="E160" t="str">
        <x:v>SUP048</x:v>
      </x:c>
    </x:row>
    <x:row r="161">
      <x:c r="A161" t="str">
        <x:v>P0160</x:v>
      </x:c>
      <x:c r="B161" t="str">
        <x:v>MAT000160</x:v>
      </x:c>
      <x:c r="C161" t="str">
        <x:v>Cleaning Item 0160</x:v>
      </x:c>
      <x:c r="D161" t="str">
        <x:v>Cleaning</x:v>
      </x:c>
      <x:c r="E161" t="str">
        <x:v>SUP014</x:v>
      </x:c>
    </x:row>
    <x:row r="162">
      <x:c r="A162" t="str">
        <x:v>P0161</x:v>
      </x:c>
      <x:c r="B162" t="str">
        <x:v>MAT000161</x:v>
      </x:c>
      <x:c r="C162" t="str">
        <x:v>Beverages Item 0161</x:v>
      </x:c>
      <x:c r="D162" t="str">
        <x:v>Beverages</x:v>
      </x:c>
      <x:c r="E162" t="str">
        <x:v>SUP039</x:v>
      </x:c>
    </x:row>
    <x:row r="163">
      <x:c r="A163" t="str">
        <x:v>P0162</x:v>
      </x:c>
      <x:c r="B163" t="str">
        <x:v>MAT000162</x:v>
      </x:c>
      <x:c r="C163" t="str">
        <x:v>Dry Grocery Item 0162</x:v>
      </x:c>
      <x:c r="D163" t="str">
        <x:v>Dry Grocery</x:v>
      </x:c>
      <x:c r="E163" t="str">
        <x:v>SUP015</x:v>
      </x:c>
    </x:row>
    <x:row r="164">
      <x:c r="A164" t="str">
        <x:v>P0163</x:v>
      </x:c>
      <x:c r="B164" t="str">
        <x:v>MAT000163</x:v>
      </x:c>
      <x:c r="C164" t="str">
        <x:v>Household Item 0163</x:v>
      </x:c>
      <x:c r="D164" t="str">
        <x:v>Household</x:v>
      </x:c>
      <x:c r="E164" t="str">
        <x:v>SUP022</x:v>
      </x:c>
    </x:row>
    <x:row r="165">
      <x:c r="A165" t="str">
        <x:v>P0164</x:v>
      </x:c>
      <x:c r="B165" t="str">
        <x:v>MAT000164</x:v>
      </x:c>
      <x:c r="C165" t="str">
        <x:v>Personal Care Item 0164</x:v>
      </x:c>
      <x:c r="D165" t="str">
        <x:v>Personal Care</x:v>
      </x:c>
      <x:c r="E165" t="str">
        <x:v>SUP016</x:v>
      </x:c>
    </x:row>
    <x:row r="166">
      <x:c r="A166" t="str">
        <x:v>P0165</x:v>
      </x:c>
      <x:c r="B166" t="str">
        <x:v>MAT000165</x:v>
      </x:c>
      <x:c r="C166" t="str">
        <x:v>Packaging Item 0165</x:v>
      </x:c>
      <x:c r="D166" t="str">
        <x:v>Packaging</x:v>
      </x:c>
      <x:c r="E166" t="str">
        <x:v>SUP026</x:v>
      </x:c>
    </x:row>
    <x:row r="167">
      <x:c r="A167" t="str">
        <x:v>P0166</x:v>
      </x:c>
      <x:c r="B167" t="str">
        <x:v>MAT000166</x:v>
      </x:c>
      <x:c r="C167" t="str">
        <x:v>Hardware Item 0166</x:v>
      </x:c>
      <x:c r="D167" t="str">
        <x:v>Hardware</x:v>
      </x:c>
      <x:c r="E167" t="str">
        <x:v>SUP059</x:v>
      </x:c>
    </x:row>
    <x:row r="168">
      <x:c r="A168" t="str">
        <x:v>P0167</x:v>
      </x:c>
      <x:c r="B168" t="str">
        <x:v>MAT000167</x:v>
      </x:c>
      <x:c r="C168" t="str">
        <x:v>Electrical Item 0167</x:v>
      </x:c>
      <x:c r="D168" t="str">
        <x:v>Electrical</x:v>
      </x:c>
      <x:c r="E168" t="str">
        <x:v>SUP038</x:v>
      </x:c>
    </x:row>
    <x:row r="169">
      <x:c r="A169" t="str">
        <x:v>P0168</x:v>
      </x:c>
      <x:c r="B169" t="str">
        <x:v>MAT000168</x:v>
      </x:c>
      <x:c r="C169" t="str">
        <x:v>Cleaning Item 0168</x:v>
      </x:c>
      <x:c r="D169" t="str">
        <x:v>Cleaning</x:v>
      </x:c>
      <x:c r="E169" t="str">
        <x:v>SUP038</x:v>
      </x:c>
    </x:row>
    <x:row r="170">
      <x:c r="A170" t="str">
        <x:v>P0169</x:v>
      </x:c>
      <x:c r="B170" t="str">
        <x:v>MAT000169</x:v>
      </x:c>
      <x:c r="C170" t="str">
        <x:v>Beverages Item 0169</x:v>
      </x:c>
      <x:c r="D170" t="str">
        <x:v>Beverages</x:v>
      </x:c>
      <x:c r="E170" t="str">
        <x:v>SUP026</x:v>
      </x:c>
    </x:row>
    <x:row r="171">
      <x:c r="A171" t="str">
        <x:v>P0170</x:v>
      </x:c>
      <x:c r="B171" t="str">
        <x:v>MAT000170</x:v>
      </x:c>
      <x:c r="C171" t="str">
        <x:v>Dry Grocery Item 0170</x:v>
      </x:c>
      <x:c r="D171" t="str">
        <x:v>Dry Grocery</x:v>
      </x:c>
      <x:c r="E171" t="str">
        <x:v>SUP058</x:v>
      </x:c>
    </x:row>
    <x:row r="172">
      <x:c r="A172" t="str">
        <x:v>P0171</x:v>
      </x:c>
      <x:c r="B172" t="str">
        <x:v>MAT000171</x:v>
      </x:c>
      <x:c r="C172" t="str">
        <x:v>Household Item 0171</x:v>
      </x:c>
      <x:c r="D172" t="str">
        <x:v>Household</x:v>
      </x:c>
      <x:c r="E172" t="str">
        <x:v>SUP052</x:v>
      </x:c>
    </x:row>
    <x:row r="173">
      <x:c r="A173" t="str">
        <x:v>P0172</x:v>
      </x:c>
      <x:c r="B173" t="str">
        <x:v>MAT000172</x:v>
      </x:c>
      <x:c r="C173" t="str">
        <x:v>Personal Care Item 0172</x:v>
      </x:c>
      <x:c r="D173" t="str">
        <x:v>Personal Care</x:v>
      </x:c>
      <x:c r="E173" t="str">
        <x:v>SUP002</x:v>
      </x:c>
    </x:row>
    <x:row r="174">
      <x:c r="A174" t="str">
        <x:v>P0173</x:v>
      </x:c>
      <x:c r="B174" t="str">
        <x:v>MAT000173</x:v>
      </x:c>
      <x:c r="C174" t="str">
        <x:v>Packaging Item 0173</x:v>
      </x:c>
      <x:c r="D174" t="str">
        <x:v>Packaging</x:v>
      </x:c>
      <x:c r="E174" t="str">
        <x:v>SUP011</x:v>
      </x:c>
    </x:row>
    <x:row r="175">
      <x:c r="A175" t="str">
        <x:v>P0174</x:v>
      </x:c>
      <x:c r="B175" t="str">
        <x:v>MAT000174</x:v>
      </x:c>
      <x:c r="C175" t="str">
        <x:v>Hardware Item 0174</x:v>
      </x:c>
      <x:c r="D175" t="str">
        <x:v>Hardware</x:v>
      </x:c>
      <x:c r="E175" t="str">
        <x:v>SUP058</x:v>
      </x:c>
    </x:row>
    <x:row r="176">
      <x:c r="A176" t="str">
        <x:v>P0175</x:v>
      </x:c>
      <x:c r="B176" t="str">
        <x:v>MAT000175</x:v>
      </x:c>
      <x:c r="C176" t="str">
        <x:v>Electrical Item 0175</x:v>
      </x:c>
      <x:c r="D176" t="str">
        <x:v>Electrical</x:v>
      </x:c>
      <x:c r="E176" t="str">
        <x:v>SUP059</x:v>
      </x:c>
    </x:row>
    <x:row r="177">
      <x:c r="A177" t="str">
        <x:v>P0176</x:v>
      </x:c>
      <x:c r="B177" t="str">
        <x:v>MAT000176</x:v>
      </x:c>
      <x:c r="C177" t="str">
        <x:v>Cleaning Item 0176</x:v>
      </x:c>
      <x:c r="D177" t="str">
        <x:v>Cleaning</x:v>
      </x:c>
      <x:c r="E177" t="str">
        <x:v>SUP001</x:v>
      </x:c>
    </x:row>
    <x:row r="178">
      <x:c r="A178" t="str">
        <x:v>P0177</x:v>
      </x:c>
      <x:c r="B178" t="str">
        <x:v>MAT000177</x:v>
      </x:c>
      <x:c r="C178" t="str">
        <x:v>Beverages Item 0177</x:v>
      </x:c>
      <x:c r="D178" t="str">
        <x:v>Beverages</x:v>
      </x:c>
      <x:c r="E178" t="str">
        <x:v>SUP008</x:v>
      </x:c>
    </x:row>
    <x:row r="179">
      <x:c r="A179" t="str">
        <x:v>P0178</x:v>
      </x:c>
      <x:c r="B179" t="str">
        <x:v>MAT000178</x:v>
      </x:c>
      <x:c r="C179" t="str">
        <x:v>Dry Grocery Item 0178</x:v>
      </x:c>
      <x:c r="D179" t="str">
        <x:v>Dry Grocery</x:v>
      </x:c>
      <x:c r="E179" t="str">
        <x:v>SUP017</x:v>
      </x:c>
    </x:row>
    <x:row r="180">
      <x:c r="A180" t="str">
        <x:v>P0179</x:v>
      </x:c>
      <x:c r="B180" t="str">
        <x:v>MAT000179</x:v>
      </x:c>
      <x:c r="C180" t="str">
        <x:v>Household Item 0179</x:v>
      </x:c>
      <x:c r="D180" t="str">
        <x:v>Household</x:v>
      </x:c>
      <x:c r="E180" t="str">
        <x:v>SUP027</x:v>
      </x:c>
    </x:row>
    <x:row r="181">
      <x:c r="A181" t="str">
        <x:v>P0180</x:v>
      </x:c>
      <x:c r="B181" t="str">
        <x:v>MAT000180</x:v>
      </x:c>
      <x:c r="C181" t="str">
        <x:v>Personal Care Item 0180</x:v>
      </x:c>
      <x:c r="D181" t="str">
        <x:v>Personal Care</x:v>
      </x:c>
      <x:c r="E181" t="str">
        <x:v>SUP008</x:v>
      </x:c>
    </x:row>
    <x:row r="182">
      <x:c r="A182" t="str">
        <x:v>P0181</x:v>
      </x:c>
      <x:c r="B182" t="str">
        <x:v>MAT000181</x:v>
      </x:c>
      <x:c r="C182" t="str">
        <x:v>Packaging Item 0181</x:v>
      </x:c>
      <x:c r="D182" t="str">
        <x:v>Packaging</x:v>
      </x:c>
      <x:c r="E182" t="str">
        <x:v>SUP049</x:v>
      </x:c>
    </x:row>
    <x:row r="183">
      <x:c r="A183" t="str">
        <x:v>P0182</x:v>
      </x:c>
      <x:c r="B183" t="str">
        <x:v>MAT000182</x:v>
      </x:c>
      <x:c r="C183" t="str">
        <x:v>Hardware Item 0182</x:v>
      </x:c>
      <x:c r="D183" t="str">
        <x:v>Hardware</x:v>
      </x:c>
      <x:c r="E183" t="str">
        <x:v>SUP061</x:v>
      </x:c>
    </x:row>
    <x:row r="184">
      <x:c r="A184" t="str">
        <x:v>P0183</x:v>
      </x:c>
      <x:c r="B184" t="str">
        <x:v>MAT000183</x:v>
      </x:c>
      <x:c r="C184" t="str">
        <x:v>Electrical Item 0183</x:v>
      </x:c>
      <x:c r="D184" t="str">
        <x:v>Electrical</x:v>
      </x:c>
      <x:c r="E184" t="str">
        <x:v>SUP059</x:v>
      </x:c>
    </x:row>
    <x:row r="185">
      <x:c r="A185" t="str">
        <x:v>P0184</x:v>
      </x:c>
      <x:c r="B185" t="str">
        <x:v>MAT000184</x:v>
      </x:c>
      <x:c r="C185" t="str">
        <x:v>Cleaning Item 0184</x:v>
      </x:c>
      <x:c r="D185" t="str">
        <x:v>Cleaning</x:v>
      </x:c>
      <x:c r="E185" t="str">
        <x:v>SUP014</x:v>
      </x:c>
    </x:row>
    <x:row r="186">
      <x:c r="A186" t="str">
        <x:v>P0185</x:v>
      </x:c>
      <x:c r="B186" t="str">
        <x:v>MAT000185</x:v>
      </x:c>
      <x:c r="C186" t="str">
        <x:v>Beverages Item 0185</x:v>
      </x:c>
      <x:c r="D186" t="str">
        <x:v>Beverages</x:v>
      </x:c>
      <x:c r="E186" t="str">
        <x:v>SUP024</x:v>
      </x:c>
    </x:row>
    <x:row r="187">
      <x:c r="A187" t="str">
        <x:v>P0186</x:v>
      </x:c>
      <x:c r="B187" t="str">
        <x:v>MAT000186</x:v>
      </x:c>
      <x:c r="C187" t="str">
        <x:v>Dry Grocery Item 0186</x:v>
      </x:c>
      <x:c r="D187" t="str">
        <x:v>Dry Grocery</x:v>
      </x:c>
      <x:c r="E187" t="str">
        <x:v>SUP049</x:v>
      </x:c>
    </x:row>
    <x:row r="188">
      <x:c r="A188" t="str">
        <x:v>P0187</x:v>
      </x:c>
      <x:c r="B188" t="str">
        <x:v>MAT000187</x:v>
      </x:c>
      <x:c r="C188" t="str">
        <x:v>Household Item 0187</x:v>
      </x:c>
      <x:c r="D188" t="str">
        <x:v>Household</x:v>
      </x:c>
      <x:c r="E188" t="str">
        <x:v>SUP052</x:v>
      </x:c>
    </x:row>
    <x:row r="189">
      <x:c r="A189" t="str">
        <x:v>P0188</x:v>
      </x:c>
      <x:c r="B189" t="str">
        <x:v>MAT000188</x:v>
      </x:c>
      <x:c r="C189" t="str">
        <x:v>Personal Care Item 0188</x:v>
      </x:c>
      <x:c r="D189" t="str">
        <x:v>Personal Care</x:v>
      </x:c>
      <x:c r="E189" t="str">
        <x:v>SUP021</x:v>
      </x:c>
    </x:row>
    <x:row r="190">
      <x:c r="A190" t="str">
        <x:v>P0189</x:v>
      </x:c>
      <x:c r="B190" t="str">
        <x:v>MAT000189</x:v>
      </x:c>
      <x:c r="C190" t="str">
        <x:v>Packaging Item 0189</x:v>
      </x:c>
      <x:c r="D190" t="str">
        <x:v>Packaging</x:v>
      </x:c>
      <x:c r="E190" t="str">
        <x:v>SUP024</x:v>
      </x:c>
    </x:row>
    <x:row r="191">
      <x:c r="A191" t="str">
        <x:v>P0190</x:v>
      </x:c>
      <x:c r="B191" t="str">
        <x:v>MAT000190</x:v>
      </x:c>
      <x:c r="C191" t="str">
        <x:v>Hardware Item 0190</x:v>
      </x:c>
      <x:c r="D191" t="str">
        <x:v>Hardware</x:v>
      </x:c>
      <x:c r="E191" t="str">
        <x:v>SUP027</x:v>
      </x:c>
    </x:row>
    <x:row r="192">
      <x:c r="A192" t="str">
        <x:v>P0191</x:v>
      </x:c>
      <x:c r="B192" t="str">
        <x:v>MAT000191</x:v>
      </x:c>
      <x:c r="C192" t="str">
        <x:v>Electrical Item 0191</x:v>
      </x:c>
      <x:c r="D192" t="str">
        <x:v>Electrical</x:v>
      </x:c>
      <x:c r="E192" t="str">
        <x:v>SUP006</x:v>
      </x:c>
    </x:row>
    <x:row r="193">
      <x:c r="A193" t="str">
        <x:v>P0192</x:v>
      </x:c>
      <x:c r="B193" t="str">
        <x:v>MAT000192</x:v>
      </x:c>
      <x:c r="C193" t="str">
        <x:v>Cleaning Item 0192</x:v>
      </x:c>
      <x:c r="D193" t="str">
        <x:v>Cleaning</x:v>
      </x:c>
      <x:c r="E193" t="str">
        <x:v>SUP028</x:v>
      </x:c>
    </x:row>
    <x:row r="194">
      <x:c r="A194" t="str">
        <x:v>P0193</x:v>
      </x:c>
      <x:c r="B194" t="str">
        <x:v>MAT000193</x:v>
      </x:c>
      <x:c r="C194" t="str">
        <x:v>Beverages Item 0193</x:v>
      </x:c>
      <x:c r="D194" t="str">
        <x:v>Beverages</x:v>
      </x:c>
      <x:c r="E194" t="str">
        <x:v>SUP020</x:v>
      </x:c>
    </x:row>
    <x:row r="195">
      <x:c r="A195" t="str">
        <x:v>P0194</x:v>
      </x:c>
      <x:c r="B195" t="str">
        <x:v>MAT000194</x:v>
      </x:c>
      <x:c r="C195" t="str">
        <x:v>Dry Grocery Item 0194</x:v>
      </x:c>
      <x:c r="D195" t="str">
        <x:v>Dry Grocery</x:v>
      </x:c>
      <x:c r="E195" t="str">
        <x:v>SUP008</x:v>
      </x:c>
    </x:row>
    <x:row r="196">
      <x:c r="A196" t="str">
        <x:v>P0195</x:v>
      </x:c>
      <x:c r="B196" t="str">
        <x:v>MAT000195</x:v>
      </x:c>
      <x:c r="C196" t="str">
        <x:v>Household Item 0195</x:v>
      </x:c>
      <x:c r="D196" t="str">
        <x:v>Household</x:v>
      </x:c>
      <x:c r="E196" t="str">
        <x:v>SUP048</x:v>
      </x:c>
    </x:row>
    <x:row r="197">
      <x:c r="A197" t="str">
        <x:v>P0196</x:v>
      </x:c>
      <x:c r="B197" t="str">
        <x:v>MAT000196</x:v>
      </x:c>
      <x:c r="C197" t="str">
        <x:v>Personal Care Item 0196</x:v>
      </x:c>
      <x:c r="D197" t="str">
        <x:v>Personal Care</x:v>
      </x:c>
      <x:c r="E197" t="str">
        <x:v>SUP054</x:v>
      </x:c>
    </x:row>
    <x:row r="198">
      <x:c r="A198" t="str">
        <x:v>P0197</x:v>
      </x:c>
      <x:c r="B198" t="str">
        <x:v>MAT000197</x:v>
      </x:c>
      <x:c r="C198" t="str">
        <x:v>Packaging Item 0197</x:v>
      </x:c>
      <x:c r="D198" t="str">
        <x:v>Packaging</x:v>
      </x:c>
      <x:c r="E198" t="str">
        <x:v>SUP046</x:v>
      </x:c>
    </x:row>
    <x:row r="199">
      <x:c r="A199" t="str">
        <x:v>P0198</x:v>
      </x:c>
      <x:c r="B199" t="str">
        <x:v>MAT000198</x:v>
      </x:c>
      <x:c r="C199" t="str">
        <x:v>Hardware Item 0198</x:v>
      </x:c>
      <x:c r="D199" t="str">
        <x:v>Hardware</x:v>
      </x:c>
      <x:c r="E199" t="str">
        <x:v>SUP051</x:v>
      </x:c>
    </x:row>
    <x:row r="200">
      <x:c r="A200" t="str">
        <x:v>P0199</x:v>
      </x:c>
      <x:c r="B200" t="str">
        <x:v>MAT000199</x:v>
      </x:c>
      <x:c r="C200" t="str">
        <x:v>Electrical Item 0199</x:v>
      </x:c>
      <x:c r="D200" t="str">
        <x:v>Electrical</x:v>
      </x:c>
      <x:c r="E200" t="str">
        <x:v>SUP012</x:v>
      </x:c>
    </x:row>
    <x:row r="201">
      <x:c r="A201" t="str">
        <x:v>P0200</x:v>
      </x:c>
      <x:c r="B201" t="str">
        <x:v>MAT000200</x:v>
      </x:c>
      <x:c r="C201" t="str">
        <x:v>Cleaning Item 0200</x:v>
      </x:c>
      <x:c r="D201" t="str">
        <x:v>Cleaning</x:v>
      </x:c>
      <x:c r="E201" t="str">
        <x:v>SUP023</x:v>
      </x:c>
    </x:row>
    <x:row r="202">
      <x:c r="A202" t="str">
        <x:v>P0201</x:v>
      </x:c>
      <x:c r="B202" t="str">
        <x:v>MAT000201</x:v>
      </x:c>
      <x:c r="C202" t="str">
        <x:v>Beverages Item 0201</x:v>
      </x:c>
      <x:c r="D202" t="str">
        <x:v>Beverages</x:v>
      </x:c>
      <x:c r="E202" t="str">
        <x:v>SUP029</x:v>
      </x:c>
    </x:row>
    <x:row r="203">
      <x:c r="A203" t="str">
        <x:v>P0202</x:v>
      </x:c>
      <x:c r="B203" t="str">
        <x:v>MAT000202</x:v>
      </x:c>
      <x:c r="C203" t="str">
        <x:v>Dry Grocery Item 0202</x:v>
      </x:c>
      <x:c r="D203" t="str">
        <x:v>Dry Grocery</x:v>
      </x:c>
      <x:c r="E203" t="str">
        <x:v>SUP040</x:v>
      </x:c>
    </x:row>
    <x:row r="204">
      <x:c r="A204" t="str">
        <x:v>P0203</x:v>
      </x:c>
      <x:c r="B204" t="str">
        <x:v>MAT000203</x:v>
      </x:c>
      <x:c r="C204" t="str">
        <x:v>Household Item 0203</x:v>
      </x:c>
      <x:c r="D204" t="str">
        <x:v>Household</x:v>
      </x:c>
      <x:c r="E204" t="str">
        <x:v>SUP005</x:v>
      </x:c>
    </x:row>
    <x:row r="205">
      <x:c r="A205" t="str">
        <x:v>P0204</x:v>
      </x:c>
      <x:c r="B205" t="str">
        <x:v>MAT000204</x:v>
      </x:c>
      <x:c r="C205" t="str">
        <x:v>Personal Care Item 0204</x:v>
      </x:c>
      <x:c r="D205" t="str">
        <x:v>Personal Care</x:v>
      </x:c>
      <x:c r="E205" t="str">
        <x:v>SUP057</x:v>
      </x:c>
    </x:row>
    <x:row r="206">
      <x:c r="A206" t="str">
        <x:v>P0205</x:v>
      </x:c>
      <x:c r="B206" t="str">
        <x:v>MAT000205</x:v>
      </x:c>
      <x:c r="C206" t="str">
        <x:v>Packaging Item 0205</x:v>
      </x:c>
      <x:c r="D206" t="str">
        <x:v>Packaging</x:v>
      </x:c>
      <x:c r="E206" t="str">
        <x:v>SUP063</x:v>
      </x:c>
    </x:row>
    <x:row r="207">
      <x:c r="A207" t="str">
        <x:v>P0206</x:v>
      </x:c>
      <x:c r="B207" t="str">
        <x:v>MAT000206</x:v>
      </x:c>
      <x:c r="C207" t="str">
        <x:v>Hardware Item 0206</x:v>
      </x:c>
      <x:c r="D207" t="str">
        <x:v>Hardware</x:v>
      </x:c>
      <x:c r="E207" t="str">
        <x:v>SUP042</x:v>
      </x:c>
    </x:row>
    <x:row r="208">
      <x:c r="A208" t="str">
        <x:v>P0207</x:v>
      </x:c>
      <x:c r="B208" t="str">
        <x:v>MAT000207</x:v>
      </x:c>
      <x:c r="C208" t="str">
        <x:v>Electrical Item 0207</x:v>
      </x:c>
      <x:c r="D208" t="str">
        <x:v>Electrical</x:v>
      </x:c>
      <x:c r="E208" t="str">
        <x:v>SUP039</x:v>
      </x:c>
    </x:row>
    <x:row r="209">
      <x:c r="A209" t="str">
        <x:v>P0208</x:v>
      </x:c>
      <x:c r="B209" t="str">
        <x:v>MAT000208</x:v>
      </x:c>
      <x:c r="C209" t="str">
        <x:v>Cleaning Item 0208</x:v>
      </x:c>
      <x:c r="D209" t="str">
        <x:v>Cleaning</x:v>
      </x:c>
      <x:c r="E209" t="str">
        <x:v>SUP022</x:v>
      </x:c>
    </x:row>
    <x:row r="210">
      <x:c r="A210" t="str">
        <x:v>P0209</x:v>
      </x:c>
      <x:c r="B210" t="str">
        <x:v>MAT000209</x:v>
      </x:c>
      <x:c r="C210" t="str">
        <x:v>Beverages Item 0209</x:v>
      </x:c>
      <x:c r="D210" t="str">
        <x:v>Beverages</x:v>
      </x:c>
      <x:c r="E210" t="str">
        <x:v>SUP047</x:v>
      </x:c>
    </x:row>
    <x:row r="211">
      <x:c r="A211" t="str">
        <x:v>P0210</x:v>
      </x:c>
      <x:c r="B211" t="str">
        <x:v>MAT000210</x:v>
      </x:c>
      <x:c r="C211" t="str">
        <x:v>Dry Grocery Item 0210</x:v>
      </x:c>
      <x:c r="D211" t="str">
        <x:v>Dry Grocery</x:v>
      </x:c>
      <x:c r="E211" t="str">
        <x:v>SUP002</x:v>
      </x:c>
    </x:row>
    <x:row r="212">
      <x:c r="A212" t="str">
        <x:v>P0211</x:v>
      </x:c>
      <x:c r="B212" t="str">
        <x:v>MAT000211</x:v>
      </x:c>
      <x:c r="C212" t="str">
        <x:v>Household Item 0211</x:v>
      </x:c>
      <x:c r="D212" t="str">
        <x:v>Household</x:v>
      </x:c>
      <x:c r="E212" t="str">
        <x:v>SUP008</x:v>
      </x:c>
    </x:row>
    <x:row r="213">
      <x:c r="A213" t="str">
        <x:v>P0212</x:v>
      </x:c>
      <x:c r="B213" t="str">
        <x:v>MAT000212</x:v>
      </x:c>
      <x:c r="C213" t="str">
        <x:v>Personal Care Item 0212</x:v>
      </x:c>
      <x:c r="D213" t="str">
        <x:v>Personal Care</x:v>
      </x:c>
      <x:c r="E213" t="str">
        <x:v>SUP055</x:v>
      </x:c>
    </x:row>
    <x:row r="214">
      <x:c r="A214" t="str">
        <x:v>P0213</x:v>
      </x:c>
      <x:c r="B214" t="str">
        <x:v>MAT000213</x:v>
      </x:c>
      <x:c r="C214" t="str">
        <x:v>Packaging Item 0213</x:v>
      </x:c>
      <x:c r="D214" t="str">
        <x:v>Packaging</x:v>
      </x:c>
      <x:c r="E214" t="str">
        <x:v>SUP054</x:v>
      </x:c>
    </x:row>
    <x:row r="215">
      <x:c r="A215" t="str">
        <x:v>P0214</x:v>
      </x:c>
      <x:c r="B215" t="str">
        <x:v>MAT000214</x:v>
      </x:c>
      <x:c r="C215" t="str">
        <x:v>Hardware Item 0214</x:v>
      </x:c>
      <x:c r="D215" t="str">
        <x:v>Hardware</x:v>
      </x:c>
      <x:c r="E215" t="str">
        <x:v>SUP035</x:v>
      </x:c>
    </x:row>
    <x:row r="216">
      <x:c r="A216" t="str">
        <x:v>P0215</x:v>
      </x:c>
      <x:c r="B216" t="str">
        <x:v>MAT000215</x:v>
      </x:c>
      <x:c r="C216" t="str">
        <x:v>Electrical Item 0215</x:v>
      </x:c>
      <x:c r="D216" t="str">
        <x:v>Electrical</x:v>
      </x:c>
      <x:c r="E216" t="str">
        <x:v>SUP023</x:v>
      </x:c>
    </x:row>
    <x:row r="217">
      <x:c r="A217" t="str">
        <x:v>P0216</x:v>
      </x:c>
      <x:c r="B217" t="str">
        <x:v>MAT000216</x:v>
      </x:c>
      <x:c r="C217" t="str">
        <x:v>Cleaning Item 0216</x:v>
      </x:c>
      <x:c r="D217" t="str">
        <x:v>Cleaning</x:v>
      </x:c>
      <x:c r="E217" t="str">
        <x:v>SUP020</x:v>
      </x:c>
    </x:row>
    <x:row r="218">
      <x:c r="A218" t="str">
        <x:v>P0217</x:v>
      </x:c>
      <x:c r="B218" t="str">
        <x:v>MAT000217</x:v>
      </x:c>
      <x:c r="C218" t="str">
        <x:v>Beverages Item 0217</x:v>
      </x:c>
      <x:c r="D218" t="str">
        <x:v>Beverages</x:v>
      </x:c>
      <x:c r="E218" t="str">
        <x:v>SUP050</x:v>
      </x:c>
    </x:row>
    <x:row r="219">
      <x:c r="A219" t="str">
        <x:v>P0218</x:v>
      </x:c>
      <x:c r="B219" t="str">
        <x:v>MAT000218</x:v>
      </x:c>
      <x:c r="C219" t="str">
        <x:v>Dry Grocery Item 0218</x:v>
      </x:c>
      <x:c r="D219" t="str">
        <x:v>Dry Grocery</x:v>
      </x:c>
      <x:c r="E219" t="str">
        <x:v>SUP031</x:v>
      </x:c>
    </x:row>
    <x:row r="220">
      <x:c r="A220" t="str">
        <x:v>P0219</x:v>
      </x:c>
      <x:c r="B220" t="str">
        <x:v>MAT000219</x:v>
      </x:c>
      <x:c r="C220" t="str">
        <x:v>Household Item 0219</x:v>
      </x:c>
      <x:c r="D220" t="str">
        <x:v>Household</x:v>
      </x:c>
      <x:c r="E220" t="str">
        <x:v>SUP044</x:v>
      </x:c>
    </x:row>
    <x:row r="221">
      <x:c r="A221" t="str">
        <x:v>P0220</x:v>
      </x:c>
      <x:c r="B221" t="str">
        <x:v>MAT000220</x:v>
      </x:c>
      <x:c r="C221" t="str">
        <x:v>Personal Care Item 0220</x:v>
      </x:c>
      <x:c r="D221" t="str">
        <x:v>Personal Care</x:v>
      </x:c>
      <x:c r="E221" t="str">
        <x:v>SUP011</x:v>
      </x:c>
    </x:row>
    <x:row r="222">
      <x:c r="A222" t="str">
        <x:v>P0221</x:v>
      </x:c>
      <x:c r="B222" t="str">
        <x:v>MAT000221</x:v>
      </x:c>
      <x:c r="C222" t="str">
        <x:v>Packaging Item 0221</x:v>
      </x:c>
      <x:c r="D222" t="str">
        <x:v>Packaging</x:v>
      </x:c>
      <x:c r="E222" t="str">
        <x:v>SUP043</x:v>
      </x:c>
    </x:row>
    <x:row r="223">
      <x:c r="A223" t="str">
        <x:v>P0222</x:v>
      </x:c>
      <x:c r="B223" t="str">
        <x:v>MAT000222</x:v>
      </x:c>
      <x:c r="C223" t="str">
        <x:v>Hardware Item 0222</x:v>
      </x:c>
      <x:c r="D223" t="str">
        <x:v>Hardware</x:v>
      </x:c>
      <x:c r="E223" t="str">
        <x:v>SUP003</x:v>
      </x:c>
    </x:row>
    <x:row r="224">
      <x:c r="A224" t="str">
        <x:v>P0223</x:v>
      </x:c>
      <x:c r="B224" t="str">
        <x:v>MAT000223</x:v>
      </x:c>
      <x:c r="C224" t="str">
        <x:v>Electrical Item 0223</x:v>
      </x:c>
      <x:c r="D224" t="str">
        <x:v>Electrical</x:v>
      </x:c>
      <x:c r="E224" t="str">
        <x:v>SUP033</x:v>
      </x:c>
    </x:row>
    <x:row r="225">
      <x:c r="A225" t="str">
        <x:v>P0224</x:v>
      </x:c>
      <x:c r="B225" t="str">
        <x:v>MAT000224</x:v>
      </x:c>
      <x:c r="C225" t="str">
        <x:v>Cleaning Item 0224</x:v>
      </x:c>
      <x:c r="D225" t="str">
        <x:v>Cleaning</x:v>
      </x:c>
      <x:c r="E225" t="str">
        <x:v>SUP001</x:v>
      </x:c>
    </x:row>
    <x:row r="226">
      <x:c r="A226" t="str">
        <x:v>P0225</x:v>
      </x:c>
      <x:c r="B226" t="str">
        <x:v>MAT000225</x:v>
      </x:c>
      <x:c r="C226" t="str">
        <x:v>Beverages Item 0225</x:v>
      </x:c>
      <x:c r="D226" t="str">
        <x:v>Beverages</x:v>
      </x:c>
      <x:c r="E226" t="str">
        <x:v>SUP064</x:v>
      </x:c>
    </x:row>
    <x:row r="227">
      <x:c r="A227" t="str">
        <x:v>P0226</x:v>
      </x:c>
      <x:c r="B227" t="str">
        <x:v>MAT000226</x:v>
      </x:c>
      <x:c r="C227" t="str">
        <x:v>Dry Grocery Item 0226</x:v>
      </x:c>
      <x:c r="D227" t="str">
        <x:v>Dry Grocery</x:v>
      </x:c>
      <x:c r="E227" t="str">
        <x:v>SUP001</x:v>
      </x:c>
    </x:row>
    <x:row r="228">
      <x:c r="A228" t="str">
        <x:v>P0227</x:v>
      </x:c>
      <x:c r="B228" t="str">
        <x:v>MAT000227</x:v>
      </x:c>
      <x:c r="C228" t="str">
        <x:v>Household Item 0227</x:v>
      </x:c>
      <x:c r="D228" t="str">
        <x:v>Household</x:v>
      </x:c>
      <x:c r="E228" t="str">
        <x:v>SUP038</x:v>
      </x:c>
    </x:row>
    <x:row r="229">
      <x:c r="A229" t="str">
        <x:v>P0228</x:v>
      </x:c>
      <x:c r="B229" t="str">
        <x:v>MAT000228</x:v>
      </x:c>
      <x:c r="C229" t="str">
        <x:v>Personal Care Item 0228</x:v>
      </x:c>
      <x:c r="D229" t="str">
        <x:v>Personal Care</x:v>
      </x:c>
      <x:c r="E229" t="str">
        <x:v>SUP060</x:v>
      </x:c>
    </x:row>
    <x:row r="230">
      <x:c r="A230" t="str">
        <x:v>P0229</x:v>
      </x:c>
      <x:c r="B230" t="str">
        <x:v>MAT000229</x:v>
      </x:c>
      <x:c r="C230" t="str">
        <x:v>Packaging Item 0229</x:v>
      </x:c>
      <x:c r="D230" t="str">
        <x:v>Packaging</x:v>
      </x:c>
      <x:c r="E230" t="str">
        <x:v>SUP008</x:v>
      </x:c>
    </x:row>
    <x:row r="231">
      <x:c r="A231" t="str">
        <x:v>P0230</x:v>
      </x:c>
      <x:c r="B231" t="str">
        <x:v>MAT000230</x:v>
      </x:c>
      <x:c r="C231" t="str">
        <x:v>Hardware Item 0230</x:v>
      </x:c>
      <x:c r="D231" t="str">
        <x:v>Hardware</x:v>
      </x:c>
      <x:c r="E231" t="str">
        <x:v>SUP031</x:v>
      </x:c>
    </x:row>
    <x:row r="232">
      <x:c r="A232" t="str">
        <x:v>P0231</x:v>
      </x:c>
      <x:c r="B232" t="str">
        <x:v>MAT000231</x:v>
      </x:c>
      <x:c r="C232" t="str">
        <x:v>Electrical Item 0231</x:v>
      </x:c>
      <x:c r="D232" t="str">
        <x:v>Electrical</x:v>
      </x:c>
      <x:c r="E232" t="str">
        <x:v>SUP022</x:v>
      </x:c>
    </x:row>
    <x:row r="233">
      <x:c r="A233" t="str">
        <x:v>P0232</x:v>
      </x:c>
      <x:c r="B233" t="str">
        <x:v>MAT000232</x:v>
      </x:c>
      <x:c r="C233" t="str">
        <x:v>Cleaning Item 0232</x:v>
      </x:c>
      <x:c r="D233" t="str">
        <x:v>Cleaning</x:v>
      </x:c>
      <x:c r="E233" t="str">
        <x:v>SUP018</x:v>
      </x:c>
    </x:row>
    <x:row r="234">
      <x:c r="A234" t="str">
        <x:v>P0233</x:v>
      </x:c>
      <x:c r="B234" t="str">
        <x:v>MAT000233</x:v>
      </x:c>
      <x:c r="C234" t="str">
        <x:v>Beverages Item 0233</x:v>
      </x:c>
      <x:c r="D234" t="str">
        <x:v>Beverages</x:v>
      </x:c>
      <x:c r="E234" t="str">
        <x:v>SUP006</x:v>
      </x:c>
    </x:row>
    <x:row r="235">
      <x:c r="A235" t="str">
        <x:v>P0234</x:v>
      </x:c>
      <x:c r="B235" t="str">
        <x:v>MAT000234</x:v>
      </x:c>
      <x:c r="C235" t="str">
        <x:v>Dry Grocery Item 0234</x:v>
      </x:c>
      <x:c r="D235" t="str">
        <x:v>Dry Grocery</x:v>
      </x:c>
      <x:c r="E235" t="str">
        <x:v>SUP006</x:v>
      </x:c>
    </x:row>
    <x:row r="236">
      <x:c r="A236" t="str">
        <x:v>P0235</x:v>
      </x:c>
      <x:c r="B236" t="str">
        <x:v>MAT000235</x:v>
      </x:c>
      <x:c r="C236" t="str">
        <x:v>Household Item 0235</x:v>
      </x:c>
      <x:c r="D236" t="str">
        <x:v>Household</x:v>
      </x:c>
      <x:c r="E236" t="str">
        <x:v>SUP010</x:v>
      </x:c>
    </x:row>
    <x:row r="237">
      <x:c r="A237" t="str">
        <x:v>P0236</x:v>
      </x:c>
      <x:c r="B237" t="str">
        <x:v>MAT000236</x:v>
      </x:c>
      <x:c r="C237" t="str">
        <x:v>Personal Care Item 0236</x:v>
      </x:c>
      <x:c r="D237" t="str">
        <x:v>Personal Care</x:v>
      </x:c>
      <x:c r="E237" t="str">
        <x:v>SUP064</x:v>
      </x:c>
    </x:row>
    <x:row r="238">
      <x:c r="A238" t="str">
        <x:v>P0237</x:v>
      </x:c>
      <x:c r="B238" t="str">
        <x:v>MAT000237</x:v>
      </x:c>
      <x:c r="C238" t="str">
        <x:v>Packaging Item 0237</x:v>
      </x:c>
      <x:c r="D238" t="str">
        <x:v>Packaging</x:v>
      </x:c>
      <x:c r="E238" t="str">
        <x:v>SUP041</x:v>
      </x:c>
    </x:row>
    <x:row r="239">
      <x:c r="A239" t="str">
        <x:v>P0238</x:v>
      </x:c>
      <x:c r="B239" t="str">
        <x:v>MAT000238</x:v>
      </x:c>
      <x:c r="C239" t="str">
        <x:v>Hardware Item 0238</x:v>
      </x:c>
      <x:c r="D239" t="str">
        <x:v>Hardware</x:v>
      </x:c>
      <x:c r="E239" t="str">
        <x:v>SUP058</x:v>
      </x:c>
    </x:row>
    <x:row r="240">
      <x:c r="A240" t="str">
        <x:v>P0239</x:v>
      </x:c>
      <x:c r="B240" t="str">
        <x:v>MAT000239</x:v>
      </x:c>
      <x:c r="C240" t="str">
        <x:v>Electrical Item 0239</x:v>
      </x:c>
      <x:c r="D240" t="str">
        <x:v>Electrical</x:v>
      </x:c>
      <x:c r="E240" t="str">
        <x:v>SUP064</x:v>
      </x:c>
    </x:row>
    <x:row r="241">
      <x:c r="A241" t="str">
        <x:v>P0240</x:v>
      </x:c>
      <x:c r="B241" t="str">
        <x:v>MAT000240</x:v>
      </x:c>
      <x:c r="C241" t="str">
        <x:v>Cleaning Item 0240</x:v>
      </x:c>
      <x:c r="D241" t="str">
        <x:v>Cleaning</x:v>
      </x:c>
      <x:c r="E241" t="str">
        <x:v>SUP036</x:v>
      </x:c>
    </x:row>
    <x:row r="242">
      <x:c r="A242" t="str">
        <x:v>P0241</x:v>
      </x:c>
      <x:c r="B242" t="str">
        <x:v>MAT000241</x:v>
      </x:c>
      <x:c r="C242" t="str">
        <x:v>Beverages Item 0241</x:v>
      </x:c>
      <x:c r="D242" t="str">
        <x:v>Beverages</x:v>
      </x:c>
      <x:c r="E242" t="str">
        <x:v>SUP013</x:v>
      </x:c>
    </x:row>
    <x:row r="243">
      <x:c r="A243" t="str">
        <x:v>P0242</x:v>
      </x:c>
      <x:c r="B243" t="str">
        <x:v>MAT000242</x:v>
      </x:c>
      <x:c r="C243" t="str">
        <x:v>Dry Grocery Item 0242</x:v>
      </x:c>
      <x:c r="D243" t="str">
        <x:v>Dry Grocery</x:v>
      </x:c>
      <x:c r="E243" t="str">
        <x:v>SUP045</x:v>
      </x:c>
    </x:row>
    <x:row r="244">
      <x:c r="A244" t="str">
        <x:v>P0243</x:v>
      </x:c>
      <x:c r="B244" t="str">
        <x:v>MAT000243</x:v>
      </x:c>
      <x:c r="C244" t="str">
        <x:v>Household Item 0243</x:v>
      </x:c>
      <x:c r="D244" t="str">
        <x:v>Household</x:v>
      </x:c>
      <x:c r="E244" t="str">
        <x:v>SUP023</x:v>
      </x:c>
    </x:row>
    <x:row r="245">
      <x:c r="A245" t="str">
        <x:v>P0244</x:v>
      </x:c>
      <x:c r="B245" t="str">
        <x:v>MAT000244</x:v>
      </x:c>
      <x:c r="C245" t="str">
        <x:v>Personal Care Item 0244</x:v>
      </x:c>
      <x:c r="D245" t="str">
        <x:v>Personal Care</x:v>
      </x:c>
      <x:c r="E245" t="str">
        <x:v>SUP017</x:v>
      </x:c>
    </x:row>
    <x:row r="246">
      <x:c r="A246" t="str">
        <x:v>P0245</x:v>
      </x:c>
      <x:c r="B246" t="str">
        <x:v>MAT000245</x:v>
      </x:c>
      <x:c r="C246" t="str">
        <x:v>Packaging Item 0245</x:v>
      </x:c>
      <x:c r="D246" t="str">
        <x:v>Packaging</x:v>
      </x:c>
      <x:c r="E246" t="str">
        <x:v>SUP057</x:v>
      </x:c>
    </x:row>
    <x:row r="247">
      <x:c r="A247" t="str">
        <x:v>P0246</x:v>
      </x:c>
      <x:c r="B247" t="str">
        <x:v>MAT000246</x:v>
      </x:c>
      <x:c r="C247" t="str">
        <x:v>Hardware Item 0246</x:v>
      </x:c>
      <x:c r="D247" t="str">
        <x:v>Hardware</x:v>
      </x:c>
      <x:c r="E247" t="str">
        <x:v>SUP060</x:v>
      </x:c>
    </x:row>
    <x:row r="248">
      <x:c r="A248" t="str">
        <x:v>P0247</x:v>
      </x:c>
      <x:c r="B248" t="str">
        <x:v>MAT000247</x:v>
      </x:c>
      <x:c r="C248" t="str">
        <x:v>Electrical Item 0247</x:v>
      </x:c>
      <x:c r="D248" t="str">
        <x:v>Electrical</x:v>
      </x:c>
      <x:c r="E248" t="str">
        <x:v>SUP041</x:v>
      </x:c>
    </x:row>
    <x:row r="249">
      <x:c r="A249" t="str">
        <x:v>P0248</x:v>
      </x:c>
      <x:c r="B249" t="str">
        <x:v>MAT000248</x:v>
      </x:c>
      <x:c r="C249" t="str">
        <x:v>Cleaning Item 0248</x:v>
      </x:c>
      <x:c r="D249" t="str">
        <x:v>Cleaning</x:v>
      </x:c>
      <x:c r="E249" t="str">
        <x:v>SUP058</x:v>
      </x:c>
    </x:row>
    <x:row r="250">
      <x:c r="A250" t="str">
        <x:v>P0249</x:v>
      </x:c>
      <x:c r="B250" t="str">
        <x:v>MAT000249</x:v>
      </x:c>
      <x:c r="C250" t="str">
        <x:v>Beverages Item 0249</x:v>
      </x:c>
      <x:c r="D250" t="str">
        <x:v>Beverages</x:v>
      </x:c>
      <x:c r="E250" t="str">
        <x:v>SUP004</x:v>
      </x:c>
    </x:row>
    <x:row r="251">
      <x:c r="A251" t="str">
        <x:v>P0250</x:v>
      </x:c>
      <x:c r="B251" t="str">
        <x:v>MAT000250</x:v>
      </x:c>
      <x:c r="C251" t="str">
        <x:v>Dry Grocery Item 0250</x:v>
      </x:c>
      <x:c r="D251" t="str">
        <x:v>Dry Grocery</x:v>
      </x:c>
      <x:c r="E251" t="str">
        <x:v>SUP038</x:v>
      </x:c>
    </x:row>
    <x:row r="252">
      <x:c r="A252" t="str">
        <x:v>P0251</x:v>
      </x:c>
      <x:c r="B252" t="str">
        <x:v>MAT000251</x:v>
      </x:c>
      <x:c r="C252" t="str">
        <x:v>Household Item 0251</x:v>
      </x:c>
      <x:c r="D252" t="str">
        <x:v>Household</x:v>
      </x:c>
      <x:c r="E252" t="str">
        <x:v>SUP043</x:v>
      </x:c>
    </x:row>
    <x:row r="253">
      <x:c r="A253" t="str">
        <x:v>P0252</x:v>
      </x:c>
      <x:c r="B253" t="str">
        <x:v>MAT000252</x:v>
      </x:c>
      <x:c r="C253" t="str">
        <x:v>Personal Care Item 0252</x:v>
      </x:c>
      <x:c r="D253" t="str">
        <x:v>Personal Care</x:v>
      </x:c>
      <x:c r="E253" t="str">
        <x:v>SUP045</x:v>
      </x:c>
    </x:row>
    <x:row r="254">
      <x:c r="A254" t="str">
        <x:v>P0253</x:v>
      </x:c>
      <x:c r="B254" t="str">
        <x:v>MAT000253</x:v>
      </x:c>
      <x:c r="C254" t="str">
        <x:v>Packaging Item 0253</x:v>
      </x:c>
      <x:c r="D254" t="str">
        <x:v>Packaging</x:v>
      </x:c>
      <x:c r="E254" t="str">
        <x:v>SUP022</x:v>
      </x:c>
    </x:row>
    <x:row r="255">
      <x:c r="A255" t="str">
        <x:v>P0254</x:v>
      </x:c>
      <x:c r="B255" t="str">
        <x:v>MAT000254</x:v>
      </x:c>
      <x:c r="C255" t="str">
        <x:v>Hardware Item 0254</x:v>
      </x:c>
      <x:c r="D255" t="str">
        <x:v>Hardware</x:v>
      </x:c>
      <x:c r="E255" t="str">
        <x:v>SUP033</x:v>
      </x:c>
    </x:row>
    <x:row r="256">
      <x:c r="A256" t="str">
        <x:v>P0255</x:v>
      </x:c>
      <x:c r="B256" t="str">
        <x:v>MAT000255</x:v>
      </x:c>
      <x:c r="C256" t="str">
        <x:v>Electrical Item 0255</x:v>
      </x:c>
      <x:c r="D256" t="str">
        <x:v>Electrical</x:v>
      </x:c>
      <x:c r="E256" t="str">
        <x:v>SUP024</x:v>
      </x:c>
    </x:row>
    <x:row r="257">
      <x:c r="A257" t="str">
        <x:v>P0256</x:v>
      </x:c>
      <x:c r="B257" t="str">
        <x:v>MAT000256</x:v>
      </x:c>
      <x:c r="C257" t="str">
        <x:v>Cleaning Item 0256</x:v>
      </x:c>
      <x:c r="D257" t="str">
        <x:v>Cleaning</x:v>
      </x:c>
      <x:c r="E257" t="str">
        <x:v>SUP019</x:v>
      </x:c>
    </x:row>
    <x:row r="258">
      <x:c r="A258" t="str">
        <x:v>P0257</x:v>
      </x:c>
      <x:c r="B258" t="str">
        <x:v>MAT000257</x:v>
      </x:c>
      <x:c r="C258" t="str">
        <x:v>Beverages Item 0257</x:v>
      </x:c>
      <x:c r="D258" t="str">
        <x:v>Beverages</x:v>
      </x:c>
      <x:c r="E258" t="str">
        <x:v>SUP012</x:v>
      </x:c>
    </x:row>
    <x:row r="259">
      <x:c r="A259" t="str">
        <x:v>P0258</x:v>
      </x:c>
      <x:c r="B259" t="str">
        <x:v>MAT000258</x:v>
      </x:c>
      <x:c r="C259" t="str">
        <x:v>Dry Grocery Item 0258</x:v>
      </x:c>
      <x:c r="D259" t="str">
        <x:v>Dry Grocery</x:v>
      </x:c>
      <x:c r="E259" t="str">
        <x:v>SUP059</x:v>
      </x:c>
    </x:row>
    <x:row r="260">
      <x:c r="A260" t="str">
        <x:v>P0259</x:v>
      </x:c>
      <x:c r="B260" t="str">
        <x:v>MAT000259</x:v>
      </x:c>
      <x:c r="C260" t="str">
        <x:v>Household Item 0259</x:v>
      </x:c>
      <x:c r="D260" t="str">
        <x:v>Household</x:v>
      </x:c>
      <x:c r="E260" t="str">
        <x:v>SUP024</x:v>
      </x:c>
    </x:row>
    <x:row r="261">
      <x:c r="A261" t="str">
        <x:v>P0260</x:v>
      </x:c>
      <x:c r="B261" t="str">
        <x:v>MAT000260</x:v>
      </x:c>
      <x:c r="C261" t="str">
        <x:v>Personal Care Item 0260</x:v>
      </x:c>
      <x:c r="D261" t="str">
        <x:v>Personal Care</x:v>
      </x:c>
      <x:c r="E261" t="str">
        <x:v>SUP061</x:v>
      </x:c>
    </x:row>
    <x:row r="262">
      <x:c r="A262" t="str">
        <x:v>P0261</x:v>
      </x:c>
      <x:c r="B262" t="str">
        <x:v>MAT000261</x:v>
      </x:c>
      <x:c r="C262" t="str">
        <x:v>Packaging Item 0261</x:v>
      </x:c>
      <x:c r="D262" t="str">
        <x:v>Packaging</x:v>
      </x:c>
      <x:c r="E262" t="str">
        <x:v>SUP002</x:v>
      </x:c>
    </x:row>
    <x:row r="263">
      <x:c r="A263" t="str">
        <x:v>P0262</x:v>
      </x:c>
      <x:c r="B263" t="str">
        <x:v>MAT000262</x:v>
      </x:c>
      <x:c r="C263" t="str">
        <x:v>Hardware Item 0262</x:v>
      </x:c>
      <x:c r="D263" t="str">
        <x:v>Hardware</x:v>
      </x:c>
      <x:c r="E263" t="str">
        <x:v>SUP047</x:v>
      </x:c>
    </x:row>
    <x:row r="264">
      <x:c r="A264" t="str">
        <x:v>P0263</x:v>
      </x:c>
      <x:c r="B264" t="str">
        <x:v>MAT000263</x:v>
      </x:c>
      <x:c r="C264" t="str">
        <x:v>Electrical Item 0263</x:v>
      </x:c>
      <x:c r="D264" t="str">
        <x:v>Electrical</x:v>
      </x:c>
      <x:c r="E264" t="str">
        <x:v>SUP011</x:v>
      </x:c>
    </x:row>
    <x:row r="265">
      <x:c r="A265" t="str">
        <x:v>P0264</x:v>
      </x:c>
      <x:c r="B265" t="str">
        <x:v>MAT000264</x:v>
      </x:c>
      <x:c r="C265" t="str">
        <x:v>Cleaning Item 0264</x:v>
      </x:c>
      <x:c r="D265" t="str">
        <x:v>Cleaning</x:v>
      </x:c>
      <x:c r="E265" t="str">
        <x:v>SUP020</x:v>
      </x:c>
    </x:row>
    <x:row r="266">
      <x:c r="A266" t="str">
        <x:v>P0265</x:v>
      </x:c>
      <x:c r="B266" t="str">
        <x:v>MAT000265</x:v>
      </x:c>
      <x:c r="C266" t="str">
        <x:v>Beverages Item 0265</x:v>
      </x:c>
      <x:c r="D266" t="str">
        <x:v>Beverages</x:v>
      </x:c>
      <x:c r="E266" t="str">
        <x:v>SUP002</x:v>
      </x:c>
    </x:row>
    <x:row r="267">
      <x:c r="A267" t="str">
        <x:v>P0266</x:v>
      </x:c>
      <x:c r="B267" t="str">
        <x:v>MAT000266</x:v>
      </x:c>
      <x:c r="C267" t="str">
        <x:v>Dry Grocery Item 0266</x:v>
      </x:c>
      <x:c r="D267" t="str">
        <x:v>Dry Grocery</x:v>
      </x:c>
      <x:c r="E267" t="str">
        <x:v>SUP026</x:v>
      </x:c>
    </x:row>
    <x:row r="268">
      <x:c r="A268" t="str">
        <x:v>P0267</x:v>
      </x:c>
      <x:c r="B268" t="str">
        <x:v>MAT000267</x:v>
      </x:c>
      <x:c r="C268" t="str">
        <x:v>Household Item 0267</x:v>
      </x:c>
      <x:c r="D268" t="str">
        <x:v>Household</x:v>
      </x:c>
      <x:c r="E268" t="str">
        <x:v>SUP021</x:v>
      </x:c>
    </x:row>
    <x:row r="269">
      <x:c r="A269" t="str">
        <x:v>P0268</x:v>
      </x:c>
      <x:c r="B269" t="str">
        <x:v>MAT000268</x:v>
      </x:c>
      <x:c r="C269" t="str">
        <x:v>Personal Care Item 0268</x:v>
      </x:c>
      <x:c r="D269" t="str">
        <x:v>Personal Care</x:v>
      </x:c>
      <x:c r="E269" t="str">
        <x:v>SUP024</x:v>
      </x:c>
    </x:row>
    <x:row r="270">
      <x:c r="A270" t="str">
        <x:v>P0269</x:v>
      </x:c>
      <x:c r="B270" t="str">
        <x:v>MAT000269</x:v>
      </x:c>
      <x:c r="C270" t="str">
        <x:v>Packaging Item 0269</x:v>
      </x:c>
      <x:c r="D270" t="str">
        <x:v>Packaging</x:v>
      </x:c>
      <x:c r="E270" t="str">
        <x:v>SUP032</x:v>
      </x:c>
    </x:row>
    <x:row r="271">
      <x:c r="A271" t="str">
        <x:v>P0270</x:v>
      </x:c>
      <x:c r="B271" t="str">
        <x:v>MAT000270</x:v>
      </x:c>
      <x:c r="C271" t="str">
        <x:v>Hardware Item 0270</x:v>
      </x:c>
      <x:c r="D271" t="str">
        <x:v>Hardware</x:v>
      </x:c>
      <x:c r="E271" t="str">
        <x:v>SUP019</x:v>
      </x:c>
    </x:row>
    <x:row r="272">
      <x:c r="A272" t="str">
        <x:v>P0271</x:v>
      </x:c>
      <x:c r="B272" t="str">
        <x:v>MAT000271</x:v>
      </x:c>
      <x:c r="C272" t="str">
        <x:v>Electrical Item 0271</x:v>
      </x:c>
      <x:c r="D272" t="str">
        <x:v>Electrical</x:v>
      </x:c>
      <x:c r="E272" t="str">
        <x:v>SUP062</x:v>
      </x:c>
    </x:row>
    <x:row r="273">
      <x:c r="A273" t="str">
        <x:v>P0272</x:v>
      </x:c>
      <x:c r="B273" t="str">
        <x:v>MAT000272</x:v>
      </x:c>
      <x:c r="C273" t="str">
        <x:v>Cleaning Item 0272</x:v>
      </x:c>
      <x:c r="D273" t="str">
        <x:v>Cleaning</x:v>
      </x:c>
      <x:c r="E273" t="str">
        <x:v>SUP002</x:v>
      </x:c>
    </x:row>
    <x:row r="274">
      <x:c r="A274" t="str">
        <x:v>P0273</x:v>
      </x:c>
      <x:c r="B274" t="str">
        <x:v>MAT000273</x:v>
      </x:c>
      <x:c r="C274" t="str">
        <x:v>Beverages Item 0273</x:v>
      </x:c>
      <x:c r="D274" t="str">
        <x:v>Beverages</x:v>
      </x:c>
      <x:c r="E274" t="str">
        <x:v>SUP011</x:v>
      </x:c>
    </x:row>
    <x:row r="275">
      <x:c r="A275" t="str">
        <x:v>P0274</x:v>
      </x:c>
      <x:c r="B275" t="str">
        <x:v>MAT000274</x:v>
      </x:c>
      <x:c r="C275" t="str">
        <x:v>Dry Grocery Item 0274</x:v>
      </x:c>
      <x:c r="D275" t="str">
        <x:v>Dry Grocery</x:v>
      </x:c>
      <x:c r="E275" t="str">
        <x:v>SUP028</x:v>
      </x:c>
    </x:row>
    <x:row r="276">
      <x:c r="A276" t="str">
        <x:v>P0275</x:v>
      </x:c>
      <x:c r="B276" t="str">
        <x:v>MAT000275</x:v>
      </x:c>
      <x:c r="C276" t="str">
        <x:v>Household Item 0275</x:v>
      </x:c>
      <x:c r="D276" t="str">
        <x:v>Household</x:v>
      </x:c>
      <x:c r="E276" t="str">
        <x:v>SUP029</x:v>
      </x:c>
    </x:row>
    <x:row r="277">
      <x:c r="A277" t="str">
        <x:v>P0276</x:v>
      </x:c>
      <x:c r="B277" t="str">
        <x:v>MAT000276</x:v>
      </x:c>
      <x:c r="C277" t="str">
        <x:v>Personal Care Item 0276</x:v>
      </x:c>
      <x:c r="D277" t="str">
        <x:v>Personal Care</x:v>
      </x:c>
      <x:c r="E277" t="str">
        <x:v>SUP043</x:v>
      </x:c>
    </x:row>
    <x:row r="278">
      <x:c r="A278" t="str">
        <x:v>P0277</x:v>
      </x:c>
      <x:c r="B278" t="str">
        <x:v>MAT000277</x:v>
      </x:c>
      <x:c r="C278" t="str">
        <x:v>Packaging Item 0277</x:v>
      </x:c>
      <x:c r="D278" t="str">
        <x:v>Packaging</x:v>
      </x:c>
      <x:c r="E278" t="str">
        <x:v>SUP023</x:v>
      </x:c>
    </x:row>
    <x:row r="279">
      <x:c r="A279" t="str">
        <x:v>P0278</x:v>
      </x:c>
      <x:c r="B279" t="str">
        <x:v>MAT000278</x:v>
      </x:c>
      <x:c r="C279" t="str">
        <x:v>Hardware Item 0278</x:v>
      </x:c>
      <x:c r="D279" t="str">
        <x:v>Hardware</x:v>
      </x:c>
      <x:c r="E279" t="str">
        <x:v>SUP062</x:v>
      </x:c>
    </x:row>
    <x:row r="280">
      <x:c r="A280" t="str">
        <x:v>P0279</x:v>
      </x:c>
      <x:c r="B280" t="str">
        <x:v>MAT000279</x:v>
      </x:c>
      <x:c r="C280" t="str">
        <x:v>Electrical Item 0279</x:v>
      </x:c>
      <x:c r="D280" t="str">
        <x:v>Electrical</x:v>
      </x:c>
      <x:c r="E280" t="str">
        <x:v>SUP064</x:v>
      </x:c>
    </x:row>
    <x:row r="281">
      <x:c r="A281" t="str">
        <x:v>P0280</x:v>
      </x:c>
      <x:c r="B281" t="str">
        <x:v>MAT000280</x:v>
      </x:c>
      <x:c r="C281" t="str">
        <x:v>Cleaning Item 0280</x:v>
      </x:c>
      <x:c r="D281" t="str">
        <x:v>Cleaning</x:v>
      </x:c>
      <x:c r="E281" t="str">
        <x:v>SUP023</x:v>
      </x:c>
    </x:row>
    <x:row r="282">
      <x:c r="A282" t="str">
        <x:v>P0281</x:v>
      </x:c>
      <x:c r="B282" t="str">
        <x:v>MAT000281</x:v>
      </x:c>
      <x:c r="C282" t="str">
        <x:v>Beverages Item 0281</x:v>
      </x:c>
      <x:c r="D282" t="str">
        <x:v>Beverages</x:v>
      </x:c>
      <x:c r="E282" t="str">
        <x:v>SUP038</x:v>
      </x:c>
    </x:row>
    <x:row r="283">
      <x:c r="A283" t="str">
        <x:v>P0282</x:v>
      </x:c>
      <x:c r="B283" t="str">
        <x:v>MAT000282</x:v>
      </x:c>
      <x:c r="C283" t="str">
        <x:v>Dry Grocery Item 0282</x:v>
      </x:c>
      <x:c r="D283" t="str">
        <x:v>Dry Grocery</x:v>
      </x:c>
      <x:c r="E283" t="str">
        <x:v>SUP007</x:v>
      </x:c>
    </x:row>
    <x:row r="284">
      <x:c r="A284" t="str">
        <x:v>P0283</x:v>
      </x:c>
      <x:c r="B284" t="str">
        <x:v>MAT000283</x:v>
      </x:c>
      <x:c r="C284" t="str">
        <x:v>Household Item 0283</x:v>
      </x:c>
      <x:c r="D284" t="str">
        <x:v>Household</x:v>
      </x:c>
      <x:c r="E284" t="str">
        <x:v>SUP061</x:v>
      </x:c>
    </x:row>
    <x:row r="285">
      <x:c r="A285" t="str">
        <x:v>P0284</x:v>
      </x:c>
      <x:c r="B285" t="str">
        <x:v>MAT000284</x:v>
      </x:c>
      <x:c r="C285" t="str">
        <x:v>Personal Care Item 0284</x:v>
      </x:c>
      <x:c r="D285" t="str">
        <x:v>Personal Care</x:v>
      </x:c>
      <x:c r="E285" t="str">
        <x:v>SUP030</x:v>
      </x:c>
    </x:row>
    <x:row r="286">
      <x:c r="A286" t="str">
        <x:v>P0285</x:v>
      </x:c>
      <x:c r="B286" t="str">
        <x:v>MAT000285</x:v>
      </x:c>
      <x:c r="C286" t="str">
        <x:v>Packaging Item 0285</x:v>
      </x:c>
      <x:c r="D286" t="str">
        <x:v>Packaging</x:v>
      </x:c>
      <x:c r="E286" t="str">
        <x:v>SUP051</x:v>
      </x:c>
    </x:row>
    <x:row r="287">
      <x:c r="A287" t="str">
        <x:v>P0286</x:v>
      </x:c>
      <x:c r="B287" t="str">
        <x:v>MAT000286</x:v>
      </x:c>
      <x:c r="C287" t="str">
        <x:v>Hardware Item 0286</x:v>
      </x:c>
      <x:c r="D287" t="str">
        <x:v>Hardware</x:v>
      </x:c>
      <x:c r="E287" t="str">
        <x:v>SUP037</x:v>
      </x:c>
    </x:row>
    <x:row r="288">
      <x:c r="A288" t="str">
        <x:v>P0287</x:v>
      </x:c>
      <x:c r="B288" t="str">
        <x:v>MAT000287</x:v>
      </x:c>
      <x:c r="C288" t="str">
        <x:v>Electrical Item 0287</x:v>
      </x:c>
      <x:c r="D288" t="str">
        <x:v>Electrical</x:v>
      </x:c>
      <x:c r="E288" t="str">
        <x:v>SUP052</x:v>
      </x:c>
    </x:row>
    <x:row r="289">
      <x:c r="A289" t="str">
        <x:v>P0288</x:v>
      </x:c>
      <x:c r="B289" t="str">
        <x:v>MAT000288</x:v>
      </x:c>
      <x:c r="C289" t="str">
        <x:v>Cleaning Item 0288</x:v>
      </x:c>
      <x:c r="D289" t="str">
        <x:v>Cleaning</x:v>
      </x:c>
      <x:c r="E289" t="str">
        <x:v>SUP064</x:v>
      </x:c>
    </x:row>
    <x:row r="290">
      <x:c r="A290" t="str">
        <x:v>P0289</x:v>
      </x:c>
      <x:c r="B290" t="str">
        <x:v>MAT000289</x:v>
      </x:c>
      <x:c r="C290" t="str">
        <x:v>Beverages Item 0289</x:v>
      </x:c>
      <x:c r="D290" t="str">
        <x:v>Beverages</x:v>
      </x:c>
      <x:c r="E290" t="str">
        <x:v>SUP029</x:v>
      </x:c>
    </x:row>
    <x:row r="291">
      <x:c r="A291" t="str">
        <x:v>P0290</x:v>
      </x:c>
      <x:c r="B291" t="str">
        <x:v>MAT000290</x:v>
      </x:c>
      <x:c r="C291" t="str">
        <x:v>Dry Grocery Item 0290</x:v>
      </x:c>
      <x:c r="D291" t="str">
        <x:v>Dry Grocery</x:v>
      </x:c>
      <x:c r="E291" t="str">
        <x:v>SUP051</x:v>
      </x:c>
    </x:row>
    <x:row r="292">
      <x:c r="A292" t="str">
        <x:v>P0291</x:v>
      </x:c>
      <x:c r="B292" t="str">
        <x:v>MAT000291</x:v>
      </x:c>
      <x:c r="C292" t="str">
        <x:v>Household Item 0291</x:v>
      </x:c>
      <x:c r="D292" t="str">
        <x:v>Household</x:v>
      </x:c>
      <x:c r="E292" t="str">
        <x:v>SUP026</x:v>
      </x:c>
    </x:row>
    <x:row r="293">
      <x:c r="A293" t="str">
        <x:v>P0292</x:v>
      </x:c>
      <x:c r="B293" t="str">
        <x:v>MAT000292</x:v>
      </x:c>
      <x:c r="C293" t="str">
        <x:v>Personal Care Item 0292</x:v>
      </x:c>
      <x:c r="D293" t="str">
        <x:v>Personal Care</x:v>
      </x:c>
      <x:c r="E293" t="str">
        <x:v>SUP049</x:v>
      </x:c>
    </x:row>
    <x:row r="294">
      <x:c r="A294" t="str">
        <x:v>P0293</x:v>
      </x:c>
      <x:c r="B294" t="str">
        <x:v>MAT000293</x:v>
      </x:c>
      <x:c r="C294" t="str">
        <x:v>Packaging Item 0293</x:v>
      </x:c>
      <x:c r="D294" t="str">
        <x:v>Packaging</x:v>
      </x:c>
      <x:c r="E294" t="str">
        <x:v>SUP018</x:v>
      </x:c>
    </x:row>
    <x:row r="295">
      <x:c r="A295" t="str">
        <x:v>P0294</x:v>
      </x:c>
      <x:c r="B295" t="str">
        <x:v>MAT000294</x:v>
      </x:c>
      <x:c r="C295" t="str">
        <x:v>Hardware Item 0294</x:v>
      </x:c>
      <x:c r="D295" t="str">
        <x:v>Hardware</x:v>
      </x:c>
      <x:c r="E295" t="str">
        <x:v>SUP053</x:v>
      </x:c>
    </x:row>
    <x:row r="296">
      <x:c r="A296" t="str">
        <x:v>P0295</x:v>
      </x:c>
      <x:c r="B296" t="str">
        <x:v>MAT000295</x:v>
      </x:c>
      <x:c r="C296" t="str">
        <x:v>Electrical Item 0295</x:v>
      </x:c>
      <x:c r="D296" t="str">
        <x:v>Electrical</x:v>
      </x:c>
      <x:c r="E296" t="str">
        <x:v>SUP008</x:v>
      </x:c>
    </x:row>
    <x:row r="297">
      <x:c r="A297" t="str">
        <x:v>P0296</x:v>
      </x:c>
      <x:c r="B297" t="str">
        <x:v>MAT000296</x:v>
      </x:c>
      <x:c r="C297" t="str">
        <x:v>Cleaning Item 0296</x:v>
      </x:c>
      <x:c r="D297" t="str">
        <x:v>Cleaning</x:v>
      </x:c>
      <x:c r="E297" t="str">
        <x:v>SUP057</x:v>
      </x:c>
    </x:row>
    <x:row r="298">
      <x:c r="A298" t="str">
        <x:v>P0297</x:v>
      </x:c>
      <x:c r="B298" t="str">
        <x:v>MAT000297</x:v>
      </x:c>
      <x:c r="C298" t="str">
        <x:v>Beverages Item 0297</x:v>
      </x:c>
      <x:c r="D298" t="str">
        <x:v>Beverages</x:v>
      </x:c>
      <x:c r="E298" t="str">
        <x:v>SUP022</x:v>
      </x:c>
    </x:row>
    <x:row r="299">
      <x:c r="A299" t="str">
        <x:v>P0298</x:v>
      </x:c>
      <x:c r="B299" t="str">
        <x:v>MAT000298</x:v>
      </x:c>
      <x:c r="C299" t="str">
        <x:v>Dry Grocery Item 0298</x:v>
      </x:c>
      <x:c r="D299" t="str">
        <x:v>Dry Grocery</x:v>
      </x:c>
      <x:c r="E299" t="str">
        <x:v>SUP054</x:v>
      </x:c>
    </x:row>
    <x:row r="300">
      <x:c r="A300" t="str">
        <x:v>P0299</x:v>
      </x:c>
      <x:c r="B300" t="str">
        <x:v>MAT000299</x:v>
      </x:c>
      <x:c r="C300" t="str">
        <x:v>Household Item 0299</x:v>
      </x:c>
      <x:c r="D300" t="str">
        <x:v>Household</x:v>
      </x:c>
      <x:c r="E300" t="str">
        <x:v>SUP058</x:v>
      </x:c>
    </x:row>
    <x:row r="301">
      <x:c r="A301" t="str">
        <x:v>P0300</x:v>
      </x:c>
      <x:c r="B301" t="str">
        <x:v>MAT000300</x:v>
      </x:c>
      <x:c r="C301" t="str">
        <x:v>Personal Care Item 0300</x:v>
      </x:c>
      <x:c r="D301" t="str">
        <x:v>Personal Care</x:v>
      </x:c>
      <x:c r="E301" t="str">
        <x:v>SUP025</x:v>
      </x:c>
    </x:row>
    <x:row r="302">
      <x:c r="A302" t="str">
        <x:v>P0301</x:v>
      </x:c>
      <x:c r="B302" t="str">
        <x:v>MAT000301</x:v>
      </x:c>
      <x:c r="C302" t="str">
        <x:v>Packaging Item 0301</x:v>
      </x:c>
      <x:c r="D302" t="str">
        <x:v>Packaging</x:v>
      </x:c>
      <x:c r="E302" t="str">
        <x:v>SUP004</x:v>
      </x:c>
    </x:row>
    <x:row r="303">
      <x:c r="A303" t="str">
        <x:v>P0302</x:v>
      </x:c>
      <x:c r="B303" t="str">
        <x:v>MAT000302</x:v>
      </x:c>
      <x:c r="C303" t="str">
        <x:v>Hardware Item 0302</x:v>
      </x:c>
      <x:c r="D303" t="str">
        <x:v>Hardware</x:v>
      </x:c>
      <x:c r="E303" t="str">
        <x:v>SUP004</x:v>
      </x:c>
    </x:row>
    <x:row r="304">
      <x:c r="A304" t="str">
        <x:v>P0303</x:v>
      </x:c>
      <x:c r="B304" t="str">
        <x:v>MAT000303</x:v>
      </x:c>
      <x:c r="C304" t="str">
        <x:v>Electrical Item 0303</x:v>
      </x:c>
      <x:c r="D304" t="str">
        <x:v>Electrical</x:v>
      </x:c>
      <x:c r="E304" t="str">
        <x:v>SUP015</x:v>
      </x:c>
    </x:row>
    <x:row r="305">
      <x:c r="A305" t="str">
        <x:v>P0304</x:v>
      </x:c>
      <x:c r="B305" t="str">
        <x:v>MAT000304</x:v>
      </x:c>
      <x:c r="C305" t="str">
        <x:v>Cleaning Item 0304</x:v>
      </x:c>
      <x:c r="D305" t="str">
        <x:v>Cleaning</x:v>
      </x:c>
      <x:c r="E305" t="str">
        <x:v>SUP054</x:v>
      </x:c>
    </x:row>
    <x:row r="306">
      <x:c r="A306" t="str">
        <x:v>P0305</x:v>
      </x:c>
      <x:c r="B306" t="str">
        <x:v>MAT000305</x:v>
      </x:c>
      <x:c r="C306" t="str">
        <x:v>Beverages Item 0305</x:v>
      </x:c>
      <x:c r="D306" t="str">
        <x:v>Beverages</x:v>
      </x:c>
      <x:c r="E306" t="str">
        <x:v>SUP058</x:v>
      </x:c>
    </x:row>
    <x:row r="307">
      <x:c r="A307" t="str">
        <x:v>P0306</x:v>
      </x:c>
      <x:c r="B307" t="str">
        <x:v>MAT000306</x:v>
      </x:c>
      <x:c r="C307" t="str">
        <x:v>Dry Grocery Item 0306</x:v>
      </x:c>
      <x:c r="D307" t="str">
        <x:v>Dry Grocery</x:v>
      </x:c>
      <x:c r="E307" t="str">
        <x:v>SUP028</x:v>
      </x:c>
    </x:row>
    <x:row r="308">
      <x:c r="A308" t="str">
        <x:v>P0307</x:v>
      </x:c>
      <x:c r="B308" t="str">
        <x:v>MAT000307</x:v>
      </x:c>
      <x:c r="C308" t="str">
        <x:v>Household Item 0307</x:v>
      </x:c>
      <x:c r="D308" t="str">
        <x:v>Household</x:v>
      </x:c>
      <x:c r="E308" t="str">
        <x:v>SUP009</x:v>
      </x:c>
    </x:row>
    <x:row r="309">
      <x:c r="A309" t="str">
        <x:v>P0308</x:v>
      </x:c>
      <x:c r="B309" t="str">
        <x:v>MAT000308</x:v>
      </x:c>
      <x:c r="C309" t="str">
        <x:v>Personal Care Item 0308</x:v>
      </x:c>
      <x:c r="D309" t="str">
        <x:v>Personal Care</x:v>
      </x:c>
      <x:c r="E309" t="str">
        <x:v>SUP053</x:v>
      </x:c>
    </x:row>
    <x:row r="310">
      <x:c r="A310" t="str">
        <x:v>P0309</x:v>
      </x:c>
      <x:c r="B310" t="str">
        <x:v>MAT000309</x:v>
      </x:c>
      <x:c r="C310" t="str">
        <x:v>Packaging Item 0309</x:v>
      </x:c>
      <x:c r="D310" t="str">
        <x:v>Packaging</x:v>
      </x:c>
      <x:c r="E310" t="str">
        <x:v>SUP052</x:v>
      </x:c>
    </x:row>
    <x:row r="311">
      <x:c r="A311" t="str">
        <x:v>P0310</x:v>
      </x:c>
      <x:c r="B311" t="str">
        <x:v>MAT000310</x:v>
      </x:c>
      <x:c r="C311" t="str">
        <x:v>Hardware Item 0310</x:v>
      </x:c>
      <x:c r="D311" t="str">
        <x:v>Hardware</x:v>
      </x:c>
      <x:c r="E311" t="str">
        <x:v>SUP064</x:v>
      </x:c>
    </x:row>
    <x:row r="312">
      <x:c r="A312" t="str">
        <x:v>P0311</x:v>
      </x:c>
      <x:c r="B312" t="str">
        <x:v>MAT000311</x:v>
      </x:c>
      <x:c r="C312" t="str">
        <x:v>Electrical Item 0311</x:v>
      </x:c>
      <x:c r="D312" t="str">
        <x:v>Electrical</x:v>
      </x:c>
      <x:c r="E312" t="str">
        <x:v>SUP022</x:v>
      </x:c>
    </x:row>
    <x:row r="313">
      <x:c r="A313" t="str">
        <x:v>P0312</x:v>
      </x:c>
      <x:c r="B313" t="str">
        <x:v>MAT000312</x:v>
      </x:c>
      <x:c r="C313" t="str">
        <x:v>Cleaning Item 0312</x:v>
      </x:c>
      <x:c r="D313" t="str">
        <x:v>Cleaning</x:v>
      </x:c>
      <x:c r="E313" t="str">
        <x:v>SUP061</x:v>
      </x:c>
    </x:row>
    <x:row r="314">
      <x:c r="A314" t="str">
        <x:v>P0313</x:v>
      </x:c>
      <x:c r="B314" t="str">
        <x:v>MAT000313</x:v>
      </x:c>
      <x:c r="C314" t="str">
        <x:v>Beverages Item 0313</x:v>
      </x:c>
      <x:c r="D314" t="str">
        <x:v>Beverages</x:v>
      </x:c>
      <x:c r="E314" t="str">
        <x:v>SUP054</x:v>
      </x:c>
    </x:row>
    <x:row r="315">
      <x:c r="A315" t="str">
        <x:v>P0314</x:v>
      </x:c>
      <x:c r="B315" t="str">
        <x:v>MAT000314</x:v>
      </x:c>
      <x:c r="C315" t="str">
        <x:v>Dry Grocery Item 0314</x:v>
      </x:c>
      <x:c r="D315" t="str">
        <x:v>Dry Grocery</x:v>
      </x:c>
      <x:c r="E315" t="str">
        <x:v>SUP063</x:v>
      </x:c>
    </x:row>
    <x:row r="316">
      <x:c r="A316" t="str">
        <x:v>P0315</x:v>
      </x:c>
      <x:c r="B316" t="str">
        <x:v>MAT000315</x:v>
      </x:c>
      <x:c r="C316" t="str">
        <x:v>Household Item 0315</x:v>
      </x:c>
      <x:c r="D316" t="str">
        <x:v>Household</x:v>
      </x:c>
      <x:c r="E316" t="str">
        <x:v>SUP038</x:v>
      </x:c>
    </x:row>
    <x:row r="317">
      <x:c r="A317" t="str">
        <x:v>P0316</x:v>
      </x:c>
      <x:c r="B317" t="str">
        <x:v>MAT000316</x:v>
      </x:c>
      <x:c r="C317" t="str">
        <x:v>Personal Care Item 0316</x:v>
      </x:c>
      <x:c r="D317" t="str">
        <x:v>Personal Care</x:v>
      </x:c>
      <x:c r="E317" t="str">
        <x:v>SUP041</x:v>
      </x:c>
    </x:row>
    <x:row r="318">
      <x:c r="A318" t="str">
        <x:v>P0317</x:v>
      </x:c>
      <x:c r="B318" t="str">
        <x:v>MAT000317</x:v>
      </x:c>
      <x:c r="C318" t="str">
        <x:v>Packaging Item 0317</x:v>
      </x:c>
      <x:c r="D318" t="str">
        <x:v>Packaging</x:v>
      </x:c>
      <x:c r="E318" t="str">
        <x:v>SUP049</x:v>
      </x:c>
    </x:row>
    <x:row r="319">
      <x:c r="A319" t="str">
        <x:v>P0318</x:v>
      </x:c>
      <x:c r="B319" t="str">
        <x:v>MAT000318</x:v>
      </x:c>
      <x:c r="C319" t="str">
        <x:v>Hardware Item 0318</x:v>
      </x:c>
      <x:c r="D319" t="str">
        <x:v>Hardware</x:v>
      </x:c>
      <x:c r="E319" t="str">
        <x:v>SUP038</x:v>
      </x:c>
    </x:row>
    <x:row r="320">
      <x:c r="A320" t="str">
        <x:v>P0319</x:v>
      </x:c>
      <x:c r="B320" t="str">
        <x:v>MAT000319</x:v>
      </x:c>
      <x:c r="C320" t="str">
        <x:v>Electrical Item 0319</x:v>
      </x:c>
      <x:c r="D320" t="str">
        <x:v>Electrical</x:v>
      </x:c>
      <x:c r="E320" t="str">
        <x:v>SUP033</x:v>
      </x:c>
    </x:row>
    <x:row r="321">
      <x:c r="A321" t="str">
        <x:v>P0320</x:v>
      </x:c>
      <x:c r="B321" t="str">
        <x:v>MAT000320</x:v>
      </x:c>
      <x:c r="C321" t="str">
        <x:v>Cleaning Item 0320</x:v>
      </x:c>
      <x:c r="D321" t="str">
        <x:v>Cleaning</x:v>
      </x:c>
      <x:c r="E321" t="str">
        <x:v>SUP052</x:v>
      </x:c>
    </x:row>
    <x:row r="322">
      <x:c r="A322" t="str">
        <x:v>P0321</x:v>
      </x:c>
      <x:c r="B322" t="str">
        <x:v>MAT000321</x:v>
      </x:c>
      <x:c r="C322" t="str">
        <x:v>Beverages Item 0321</x:v>
      </x:c>
      <x:c r="D322" t="str">
        <x:v>Beverages</x:v>
      </x:c>
      <x:c r="E322" t="str">
        <x:v>SUP016</x:v>
      </x:c>
    </x:row>
    <x:row r="323">
      <x:c r="A323" t="str">
        <x:v>P0322</x:v>
      </x:c>
      <x:c r="B323" t="str">
        <x:v>MAT000322</x:v>
      </x:c>
      <x:c r="C323" t="str">
        <x:v>Dry Grocery Item 0322</x:v>
      </x:c>
      <x:c r="D323" t="str">
        <x:v>Dry Grocery</x:v>
      </x:c>
      <x:c r="E323" t="str">
        <x:v>SUP019</x:v>
      </x:c>
    </x:row>
    <x:row r="324">
      <x:c r="A324" t="str">
        <x:v>P0323</x:v>
      </x:c>
      <x:c r="B324" t="str">
        <x:v>MAT000323</x:v>
      </x:c>
      <x:c r="C324" t="str">
        <x:v>Household Item 0323</x:v>
      </x:c>
      <x:c r="D324" t="str">
        <x:v>Household</x:v>
      </x:c>
      <x:c r="E324" t="str">
        <x:v>SUP037</x:v>
      </x:c>
    </x:row>
    <x:row r="325">
      <x:c r="A325" t="str">
        <x:v>P0324</x:v>
      </x:c>
      <x:c r="B325" t="str">
        <x:v>MAT000324</x:v>
      </x:c>
      <x:c r="C325" t="str">
        <x:v>Personal Care Item 0324</x:v>
      </x:c>
      <x:c r="D325" t="str">
        <x:v>Personal Care</x:v>
      </x:c>
      <x:c r="E325" t="str">
        <x:v>SUP008</x:v>
      </x:c>
    </x:row>
    <x:row r="326">
      <x:c r="A326" t="str">
        <x:v>P0325</x:v>
      </x:c>
      <x:c r="B326" t="str">
        <x:v>MAT000325</x:v>
      </x:c>
      <x:c r="C326" t="str">
        <x:v>Packaging Item 0325</x:v>
      </x:c>
      <x:c r="D326" t="str">
        <x:v>Packaging</x:v>
      </x:c>
      <x:c r="E326" t="str">
        <x:v>SUP016</x:v>
      </x:c>
    </x:row>
    <x:row r="327">
      <x:c r="A327" t="str">
        <x:v>P0326</x:v>
      </x:c>
      <x:c r="B327" t="str">
        <x:v>MAT000326</x:v>
      </x:c>
      <x:c r="C327" t="str">
        <x:v>Hardware Item 0326</x:v>
      </x:c>
      <x:c r="D327" t="str">
        <x:v>Hardware</x:v>
      </x:c>
      <x:c r="E327" t="str">
        <x:v>SUP037</x:v>
      </x:c>
    </x:row>
    <x:row r="328">
      <x:c r="A328" t="str">
        <x:v>P0327</x:v>
      </x:c>
      <x:c r="B328" t="str">
        <x:v>MAT000327</x:v>
      </x:c>
      <x:c r="C328" t="str">
        <x:v>Electrical Item 0327</x:v>
      </x:c>
      <x:c r="D328" t="str">
        <x:v>Electrical</x:v>
      </x:c>
      <x:c r="E328" t="str">
        <x:v>SUP058</x:v>
      </x:c>
    </x:row>
    <x:row r="329">
      <x:c r="A329" t="str">
        <x:v>P0328</x:v>
      </x:c>
      <x:c r="B329" t="str">
        <x:v>MAT000328</x:v>
      </x:c>
      <x:c r="C329" t="str">
        <x:v>Cleaning Item 0328</x:v>
      </x:c>
      <x:c r="D329" t="str">
        <x:v>Cleaning</x:v>
      </x:c>
      <x:c r="E329" t="str">
        <x:v>SUP054</x:v>
      </x:c>
    </x:row>
    <x:row r="330">
      <x:c r="A330" t="str">
        <x:v>P0329</x:v>
      </x:c>
      <x:c r="B330" t="str">
        <x:v>MAT000329</x:v>
      </x:c>
      <x:c r="C330" t="str">
        <x:v>Beverages Item 0329</x:v>
      </x:c>
      <x:c r="D330" t="str">
        <x:v>Beverages</x:v>
      </x:c>
      <x:c r="E330" t="str">
        <x:v>SUP002</x:v>
      </x:c>
    </x:row>
    <x:row r="331">
      <x:c r="A331" t="str">
        <x:v>P0330</x:v>
      </x:c>
      <x:c r="B331" t="str">
        <x:v>MAT000330</x:v>
      </x:c>
      <x:c r="C331" t="str">
        <x:v>Dry Grocery Item 0330</x:v>
      </x:c>
      <x:c r="D331" t="str">
        <x:v>Dry Grocery</x:v>
      </x:c>
      <x:c r="E331" t="str">
        <x:v>SUP052</x:v>
      </x:c>
    </x:row>
    <x:row r="332">
      <x:c r="A332" t="str">
        <x:v>P0331</x:v>
      </x:c>
      <x:c r="B332" t="str">
        <x:v>MAT000331</x:v>
      </x:c>
      <x:c r="C332" t="str">
        <x:v>Household Item 0331</x:v>
      </x:c>
      <x:c r="D332" t="str">
        <x:v>Household</x:v>
      </x:c>
      <x:c r="E332" t="str">
        <x:v>SUP052</x:v>
      </x:c>
    </x:row>
    <x:row r="333">
      <x:c r="A333" t="str">
        <x:v>P0332</x:v>
      </x:c>
      <x:c r="B333" t="str">
        <x:v>MAT000332</x:v>
      </x:c>
      <x:c r="C333" t="str">
        <x:v>Personal Care Item 0332</x:v>
      </x:c>
      <x:c r="D333" t="str">
        <x:v>Personal Care</x:v>
      </x:c>
      <x:c r="E333" t="str">
        <x:v>SUP008</x:v>
      </x:c>
    </x:row>
    <x:row r="334">
      <x:c r="A334" t="str">
        <x:v>P0333</x:v>
      </x:c>
      <x:c r="B334" t="str">
        <x:v>MAT000333</x:v>
      </x:c>
      <x:c r="C334" t="str">
        <x:v>Packaging Item 0333</x:v>
      </x:c>
      <x:c r="D334" t="str">
        <x:v>Packaging</x:v>
      </x:c>
      <x:c r="E334" t="str">
        <x:v>SUP056</x:v>
      </x:c>
    </x:row>
    <x:row r="335">
      <x:c r="A335" t="str">
        <x:v>P0334</x:v>
      </x:c>
      <x:c r="B335" t="str">
        <x:v>MAT000334</x:v>
      </x:c>
      <x:c r="C335" t="str">
        <x:v>Hardware Item 0334</x:v>
      </x:c>
      <x:c r="D335" t="str">
        <x:v>Hardware</x:v>
      </x:c>
      <x:c r="E335" t="str">
        <x:v>SUP034</x:v>
      </x:c>
    </x:row>
    <x:row r="336">
      <x:c r="A336" t="str">
        <x:v>P0335</x:v>
      </x:c>
      <x:c r="B336" t="str">
        <x:v>MAT000335</x:v>
      </x:c>
      <x:c r="C336" t="str">
        <x:v>Electrical Item 0335</x:v>
      </x:c>
      <x:c r="D336" t="str">
        <x:v>Electrical</x:v>
      </x:c>
      <x:c r="E336" t="str">
        <x:v>SUP053</x:v>
      </x:c>
    </x:row>
    <x:row r="337">
      <x:c r="A337" t="str">
        <x:v>P0336</x:v>
      </x:c>
      <x:c r="B337" t="str">
        <x:v>MAT000336</x:v>
      </x:c>
      <x:c r="C337" t="str">
        <x:v>Cleaning Item 0336</x:v>
      </x:c>
      <x:c r="D337" t="str">
        <x:v>Cleaning</x:v>
      </x:c>
      <x:c r="E337" t="str">
        <x:v>SUP007</x:v>
      </x:c>
    </x:row>
    <x:row r="338">
      <x:c r="A338" t="str">
        <x:v>P0337</x:v>
      </x:c>
      <x:c r="B338" t="str">
        <x:v>MAT000337</x:v>
      </x:c>
      <x:c r="C338" t="str">
        <x:v>Beverages Item 0337</x:v>
      </x:c>
      <x:c r="D338" t="str">
        <x:v>Beverages</x:v>
      </x:c>
      <x:c r="E338" t="str">
        <x:v>SUP001</x:v>
      </x:c>
    </x:row>
    <x:row r="339">
      <x:c r="A339" t="str">
        <x:v>P0338</x:v>
      </x:c>
      <x:c r="B339" t="str">
        <x:v>MAT000338</x:v>
      </x:c>
      <x:c r="C339" t="str">
        <x:v>Dry Grocery Item 0338</x:v>
      </x:c>
      <x:c r="D339" t="str">
        <x:v>Dry Grocery</x:v>
      </x:c>
      <x:c r="E339" t="str">
        <x:v>SUP054</x:v>
      </x:c>
    </x:row>
    <x:row r="340">
      <x:c r="A340" t="str">
        <x:v>P0339</x:v>
      </x:c>
      <x:c r="B340" t="str">
        <x:v>MAT000339</x:v>
      </x:c>
      <x:c r="C340" t="str">
        <x:v>Household Item 0339</x:v>
      </x:c>
      <x:c r="D340" t="str">
        <x:v>Household</x:v>
      </x:c>
      <x:c r="E340" t="str">
        <x:v>SUP022</x:v>
      </x:c>
    </x:row>
    <x:row r="341">
      <x:c r="A341" t="str">
        <x:v>P0340</x:v>
      </x:c>
      <x:c r="B341" t="str">
        <x:v>MAT000340</x:v>
      </x:c>
      <x:c r="C341" t="str">
        <x:v>Personal Care Item 0340</x:v>
      </x:c>
      <x:c r="D341" t="str">
        <x:v>Personal Care</x:v>
      </x:c>
      <x:c r="E341" t="str">
        <x:v>SUP047</x:v>
      </x:c>
    </x:row>
    <x:row r="342">
      <x:c r="A342" t="str">
        <x:v>P0341</x:v>
      </x:c>
      <x:c r="B342" t="str">
        <x:v>MAT000341</x:v>
      </x:c>
      <x:c r="C342" t="str">
        <x:v>Packaging Item 0341</x:v>
      </x:c>
      <x:c r="D342" t="str">
        <x:v>Packaging</x:v>
      </x:c>
      <x:c r="E342" t="str">
        <x:v>SUP013</x:v>
      </x:c>
    </x:row>
    <x:row r="343">
      <x:c r="A343" t="str">
        <x:v>P0342</x:v>
      </x:c>
      <x:c r="B343" t="str">
        <x:v>MAT000342</x:v>
      </x:c>
      <x:c r="C343" t="str">
        <x:v>Hardware Item 0342</x:v>
      </x:c>
      <x:c r="D343" t="str">
        <x:v>Hardware</x:v>
      </x:c>
      <x:c r="E343" t="str">
        <x:v>SUP046</x:v>
      </x:c>
    </x:row>
    <x:row r="344">
      <x:c r="A344" t="str">
        <x:v>P0343</x:v>
      </x:c>
      <x:c r="B344" t="str">
        <x:v>MAT000343</x:v>
      </x:c>
      <x:c r="C344" t="str">
        <x:v>Electrical Item 0343</x:v>
      </x:c>
      <x:c r="D344" t="str">
        <x:v>Electrical</x:v>
      </x:c>
      <x:c r="E344" t="str">
        <x:v>SUP039</x:v>
      </x:c>
    </x:row>
    <x:row r="345">
      <x:c r="A345" t="str">
        <x:v>P0344</x:v>
      </x:c>
      <x:c r="B345" t="str">
        <x:v>MAT000344</x:v>
      </x:c>
      <x:c r="C345" t="str">
        <x:v>Cleaning Item 0344</x:v>
      </x:c>
      <x:c r="D345" t="str">
        <x:v>Cleaning</x:v>
      </x:c>
      <x:c r="E345" t="str">
        <x:v>SUP050</x:v>
      </x:c>
    </x:row>
    <x:row r="346">
      <x:c r="A346" t="str">
        <x:v>P0345</x:v>
      </x:c>
      <x:c r="B346" t="str">
        <x:v>MAT000345</x:v>
      </x:c>
      <x:c r="C346" t="str">
        <x:v>Beverages Item 0345</x:v>
      </x:c>
      <x:c r="D346" t="str">
        <x:v>Beverages</x:v>
      </x:c>
      <x:c r="E346" t="str">
        <x:v>SUP006</x:v>
      </x:c>
    </x:row>
    <x:row r="347">
      <x:c r="A347" t="str">
        <x:v>P0346</x:v>
      </x:c>
      <x:c r="B347" t="str">
        <x:v>MAT000346</x:v>
      </x:c>
      <x:c r="C347" t="str">
        <x:v>Dry Grocery Item 0346</x:v>
      </x:c>
      <x:c r="D347" t="str">
        <x:v>Dry Grocery</x:v>
      </x:c>
      <x:c r="E347" t="str">
        <x:v>SUP052</x:v>
      </x:c>
    </x:row>
    <x:row r="348">
      <x:c r="A348" t="str">
        <x:v>P0347</x:v>
      </x:c>
      <x:c r="B348" t="str">
        <x:v>MAT000347</x:v>
      </x:c>
      <x:c r="C348" t="str">
        <x:v>Household Item 0347</x:v>
      </x:c>
      <x:c r="D348" t="str">
        <x:v>Household</x:v>
      </x:c>
      <x:c r="E348" t="str">
        <x:v>SUP003</x:v>
      </x:c>
    </x:row>
    <x:row r="349">
      <x:c r="A349" t="str">
        <x:v>P0348</x:v>
      </x:c>
      <x:c r="B349" t="str">
        <x:v>MAT000348</x:v>
      </x:c>
      <x:c r="C349" t="str">
        <x:v>Personal Care Item 0348</x:v>
      </x:c>
      <x:c r="D349" t="str">
        <x:v>Personal Care</x:v>
      </x:c>
      <x:c r="E349" t="str">
        <x:v>SUP064</x:v>
      </x:c>
    </x:row>
    <x:row r="350">
      <x:c r="A350" t="str">
        <x:v>P0349</x:v>
      </x:c>
      <x:c r="B350" t="str">
        <x:v>MAT000349</x:v>
      </x:c>
      <x:c r="C350" t="str">
        <x:v>Packaging Item 0349</x:v>
      </x:c>
      <x:c r="D350" t="str">
        <x:v>Packaging</x:v>
      </x:c>
      <x:c r="E350" t="str">
        <x:v>SUP006</x:v>
      </x:c>
    </x:row>
    <x:row r="351">
      <x:c r="A351" t="str">
        <x:v>P0350</x:v>
      </x:c>
      <x:c r="B351" t="str">
        <x:v>MAT000350</x:v>
      </x:c>
      <x:c r="C351" t="str">
        <x:v>Hardware Item 0350</x:v>
      </x:c>
      <x:c r="D351" t="str">
        <x:v>Hardware</x:v>
      </x:c>
      <x:c r="E351" t="str">
        <x:v>SUP035</x:v>
      </x:c>
    </x:row>
    <x:row r="352">
      <x:c r="A352" t="str">
        <x:v>P0351</x:v>
      </x:c>
      <x:c r="B352" t="str">
        <x:v>MAT000351</x:v>
      </x:c>
      <x:c r="C352" t="str">
        <x:v>Electrical Item 0351</x:v>
      </x:c>
      <x:c r="D352" t="str">
        <x:v>Electrical</x:v>
      </x:c>
      <x:c r="E352" t="str">
        <x:v>SUP026</x:v>
      </x:c>
    </x:row>
    <x:row r="353">
      <x:c r="A353" t="str">
        <x:v>P0352</x:v>
      </x:c>
      <x:c r="B353" t="str">
        <x:v>MAT000352</x:v>
      </x:c>
      <x:c r="C353" t="str">
        <x:v>Cleaning Item 0352</x:v>
      </x:c>
      <x:c r="D353" t="str">
        <x:v>Cleaning</x:v>
      </x:c>
      <x:c r="E353" t="str">
        <x:v>SUP062</x:v>
      </x:c>
    </x:row>
    <x:row r="354">
      <x:c r="A354" t="str">
        <x:v>P0353</x:v>
      </x:c>
      <x:c r="B354" t="str">
        <x:v>MAT000353</x:v>
      </x:c>
      <x:c r="C354" t="str">
        <x:v>Beverages Item 0353</x:v>
      </x:c>
      <x:c r="D354" t="str">
        <x:v>Beverages</x:v>
      </x:c>
      <x:c r="E354" t="str">
        <x:v>SUP033</x:v>
      </x:c>
    </x:row>
    <x:row r="355">
      <x:c r="A355" t="str">
        <x:v>P0354</x:v>
      </x:c>
      <x:c r="B355" t="str">
        <x:v>MAT000354</x:v>
      </x:c>
      <x:c r="C355" t="str">
        <x:v>Dry Grocery Item 0354</x:v>
      </x:c>
      <x:c r="D355" t="str">
        <x:v>Dry Grocery</x:v>
      </x:c>
      <x:c r="E355" t="str">
        <x:v>SUP022</x:v>
      </x:c>
    </x:row>
    <x:row r="356">
      <x:c r="A356" t="str">
        <x:v>P0355</x:v>
      </x:c>
      <x:c r="B356" t="str">
        <x:v>MAT000355</x:v>
      </x:c>
      <x:c r="C356" t="str">
        <x:v>Household Item 0355</x:v>
      </x:c>
      <x:c r="D356" t="str">
        <x:v>Household</x:v>
      </x:c>
      <x:c r="E356" t="str">
        <x:v>SUP019</x:v>
      </x:c>
    </x:row>
    <x:row r="357">
      <x:c r="A357" t="str">
        <x:v>P0356</x:v>
      </x:c>
      <x:c r="B357" t="str">
        <x:v>MAT000356</x:v>
      </x:c>
      <x:c r="C357" t="str">
        <x:v>Personal Care Item 0356</x:v>
      </x:c>
      <x:c r="D357" t="str">
        <x:v>Personal Care</x:v>
      </x:c>
      <x:c r="E357" t="str">
        <x:v>SUP026</x:v>
      </x:c>
    </x:row>
    <x:row r="358">
      <x:c r="A358" t="str">
        <x:v>P0357</x:v>
      </x:c>
      <x:c r="B358" t="str">
        <x:v>MAT000357</x:v>
      </x:c>
      <x:c r="C358" t="str">
        <x:v>Packaging Item 0357</x:v>
      </x:c>
      <x:c r="D358" t="str">
        <x:v>Packaging</x:v>
      </x:c>
      <x:c r="E358" t="str">
        <x:v>SUP010</x:v>
      </x:c>
    </x:row>
    <x:row r="359">
      <x:c r="A359" t="str">
        <x:v>P0358</x:v>
      </x:c>
      <x:c r="B359" t="str">
        <x:v>MAT000358</x:v>
      </x:c>
      <x:c r="C359" t="str">
        <x:v>Hardware Item 0358</x:v>
      </x:c>
      <x:c r="D359" t="str">
        <x:v>Hardware</x:v>
      </x:c>
      <x:c r="E359" t="str">
        <x:v>SUP035</x:v>
      </x:c>
    </x:row>
    <x:row r="360">
      <x:c r="A360" t="str">
        <x:v>P0359</x:v>
      </x:c>
      <x:c r="B360" t="str">
        <x:v>MAT000359</x:v>
      </x:c>
      <x:c r="C360" t="str">
        <x:v>Electrical Item 0359</x:v>
      </x:c>
      <x:c r="D360" t="str">
        <x:v>Electrical</x:v>
      </x:c>
      <x:c r="E360" t="str">
        <x:v>SUP021</x:v>
      </x:c>
    </x:row>
    <x:row r="361">
      <x:c r="A361" t="str">
        <x:v>P0360</x:v>
      </x:c>
      <x:c r="B361" t="str">
        <x:v>MAT000360</x:v>
      </x:c>
      <x:c r="C361" t="str">
        <x:v>Cleaning Item 0360</x:v>
      </x:c>
      <x:c r="D361" t="str">
        <x:v>Cleaning</x:v>
      </x:c>
      <x:c r="E361" t="str">
        <x:v>SUP009</x:v>
      </x:c>
    </x:row>
    <x:row r="362">
      <x:c r="A362" t="str">
        <x:v>P0361</x:v>
      </x:c>
      <x:c r="B362" t="str">
        <x:v>MAT000361</x:v>
      </x:c>
      <x:c r="C362" t="str">
        <x:v>Beverages Item 0361</x:v>
      </x:c>
      <x:c r="D362" t="str">
        <x:v>Beverages</x:v>
      </x:c>
      <x:c r="E362" t="str">
        <x:v>SUP052</x:v>
      </x:c>
    </x:row>
    <x:row r="363">
      <x:c r="A363" t="str">
        <x:v>P0362</x:v>
      </x:c>
      <x:c r="B363" t="str">
        <x:v>MAT000362</x:v>
      </x:c>
      <x:c r="C363" t="str">
        <x:v>Dry Grocery Item 0362</x:v>
      </x:c>
      <x:c r="D363" t="str">
        <x:v>Dry Grocery</x:v>
      </x:c>
      <x:c r="E363" t="str">
        <x:v>SUP052</x:v>
      </x:c>
    </x:row>
    <x:row r="364">
      <x:c r="A364" t="str">
        <x:v>P0363</x:v>
      </x:c>
      <x:c r="B364" t="str">
        <x:v>MAT000363</x:v>
      </x:c>
      <x:c r="C364" t="str">
        <x:v>Household Item 0363</x:v>
      </x:c>
      <x:c r="D364" t="str">
        <x:v>Household</x:v>
      </x:c>
      <x:c r="E364" t="str">
        <x:v>SUP034</x:v>
      </x:c>
    </x:row>
    <x:row r="365">
      <x:c r="A365" t="str">
        <x:v>P0364</x:v>
      </x:c>
      <x:c r="B365" t="str">
        <x:v>MAT000364</x:v>
      </x:c>
      <x:c r="C365" t="str">
        <x:v>Personal Care Item 0364</x:v>
      </x:c>
      <x:c r="D365" t="str">
        <x:v>Personal Care</x:v>
      </x:c>
      <x:c r="E365" t="str">
        <x:v>SUP028</x:v>
      </x:c>
    </x:row>
    <x:row r="366">
      <x:c r="A366" t="str">
        <x:v>P0365</x:v>
      </x:c>
      <x:c r="B366" t="str">
        <x:v>MAT000365</x:v>
      </x:c>
      <x:c r="C366" t="str">
        <x:v>Packaging Item 0365</x:v>
      </x:c>
      <x:c r="D366" t="str">
        <x:v>Packaging</x:v>
      </x:c>
      <x:c r="E366" t="str">
        <x:v>SUP025</x:v>
      </x:c>
    </x:row>
    <x:row r="367">
      <x:c r="A367" t="str">
        <x:v>P0366</x:v>
      </x:c>
      <x:c r="B367" t="str">
        <x:v>MAT000366</x:v>
      </x:c>
      <x:c r="C367" t="str">
        <x:v>Hardware Item 0366</x:v>
      </x:c>
      <x:c r="D367" t="str">
        <x:v>Hardware</x:v>
      </x:c>
      <x:c r="E367" t="str">
        <x:v>SUP014</x:v>
      </x:c>
    </x:row>
    <x:row r="368">
      <x:c r="A368" t="str">
        <x:v>P0367</x:v>
      </x:c>
      <x:c r="B368" t="str">
        <x:v>MAT000367</x:v>
      </x:c>
      <x:c r="C368" t="str">
        <x:v>Electrical Item 0367</x:v>
      </x:c>
      <x:c r="D368" t="str">
        <x:v>Electrical</x:v>
      </x:c>
      <x:c r="E368" t="str">
        <x:v>SUP017</x:v>
      </x:c>
    </x:row>
    <x:row r="369">
      <x:c r="A369" t="str">
        <x:v>P0368</x:v>
      </x:c>
      <x:c r="B369" t="str">
        <x:v>MAT000368</x:v>
      </x:c>
      <x:c r="C369" t="str">
        <x:v>Cleaning Item 0368</x:v>
      </x:c>
      <x:c r="D369" t="str">
        <x:v>Cleaning</x:v>
      </x:c>
      <x:c r="E369" t="str">
        <x:v>SUP002</x:v>
      </x:c>
    </x:row>
    <x:row r="370">
      <x:c r="A370" t="str">
        <x:v>P0369</x:v>
      </x:c>
      <x:c r="B370" t="str">
        <x:v>MAT000369</x:v>
      </x:c>
      <x:c r="C370" t="str">
        <x:v>Beverages Item 0369</x:v>
      </x:c>
      <x:c r="D370" t="str">
        <x:v>Beverages</x:v>
      </x:c>
      <x:c r="E370" t="str">
        <x:v>SUP025</x:v>
      </x:c>
    </x:row>
    <x:row r="371">
      <x:c r="A371" t="str">
        <x:v>P0370</x:v>
      </x:c>
      <x:c r="B371" t="str">
        <x:v>MAT000370</x:v>
      </x:c>
      <x:c r="C371" t="str">
        <x:v>Dry Grocery Item 0370</x:v>
      </x:c>
      <x:c r="D371" t="str">
        <x:v>Dry Grocery</x:v>
      </x:c>
      <x:c r="E371" t="str">
        <x:v>SUP050</x:v>
      </x:c>
    </x:row>
    <x:row r="372">
      <x:c r="A372" t="str">
        <x:v>P0371</x:v>
      </x:c>
      <x:c r="B372" t="str">
        <x:v>MAT000371</x:v>
      </x:c>
      <x:c r="C372" t="str">
        <x:v>Household Item 0371</x:v>
      </x:c>
      <x:c r="D372" t="str">
        <x:v>Household</x:v>
      </x:c>
      <x:c r="E372" t="str">
        <x:v>SUP064</x:v>
      </x:c>
    </x:row>
    <x:row r="373">
      <x:c r="A373" t="str">
        <x:v>P0372</x:v>
      </x:c>
      <x:c r="B373" t="str">
        <x:v>MAT000372</x:v>
      </x:c>
      <x:c r="C373" t="str">
        <x:v>Personal Care Item 0372</x:v>
      </x:c>
      <x:c r="D373" t="str">
        <x:v>Personal Care</x:v>
      </x:c>
      <x:c r="E373" t="str">
        <x:v>SUP007</x:v>
      </x:c>
    </x:row>
    <x:row r="374">
      <x:c r="A374" t="str">
        <x:v>P0373</x:v>
      </x:c>
      <x:c r="B374" t="str">
        <x:v>MAT000373</x:v>
      </x:c>
      <x:c r="C374" t="str">
        <x:v>Packaging Item 0373</x:v>
      </x:c>
      <x:c r="D374" t="str">
        <x:v>Packaging</x:v>
      </x:c>
      <x:c r="E374" t="str">
        <x:v>SUP056</x:v>
      </x:c>
    </x:row>
    <x:row r="375">
      <x:c r="A375" t="str">
        <x:v>P0374</x:v>
      </x:c>
      <x:c r="B375" t="str">
        <x:v>MAT000374</x:v>
      </x:c>
      <x:c r="C375" t="str">
        <x:v>Hardware Item 0374</x:v>
      </x:c>
      <x:c r="D375" t="str">
        <x:v>Hardware</x:v>
      </x:c>
      <x:c r="E375" t="str">
        <x:v>SUP047</x:v>
      </x:c>
    </x:row>
    <x:row r="376">
      <x:c r="A376" t="str">
        <x:v>P0375</x:v>
      </x:c>
      <x:c r="B376" t="str">
        <x:v>MAT000375</x:v>
      </x:c>
      <x:c r="C376" t="str">
        <x:v>Electrical Item 0375</x:v>
      </x:c>
      <x:c r="D376" t="str">
        <x:v>Electrical</x:v>
      </x:c>
      <x:c r="E376" t="str">
        <x:v>SUP058</x:v>
      </x:c>
    </x:row>
    <x:row r="377">
      <x:c r="A377" t="str">
        <x:v>P0376</x:v>
      </x:c>
      <x:c r="B377" t="str">
        <x:v>MAT000376</x:v>
      </x:c>
      <x:c r="C377" t="str">
        <x:v>Cleaning Item 0376</x:v>
      </x:c>
      <x:c r="D377" t="str">
        <x:v>Cleaning</x:v>
      </x:c>
      <x:c r="E377" t="str">
        <x:v>SUP009</x:v>
      </x:c>
    </x:row>
    <x:row r="378">
      <x:c r="A378" t="str">
        <x:v>P0377</x:v>
      </x:c>
      <x:c r="B378" t="str">
        <x:v>MAT000377</x:v>
      </x:c>
      <x:c r="C378" t="str">
        <x:v>Beverages Item 0377</x:v>
      </x:c>
      <x:c r="D378" t="str">
        <x:v>Beverages</x:v>
      </x:c>
      <x:c r="E378" t="str">
        <x:v>SUP021</x:v>
      </x:c>
    </x:row>
    <x:row r="379">
      <x:c r="A379" t="str">
        <x:v>P0378</x:v>
      </x:c>
      <x:c r="B379" t="str">
        <x:v>MAT000378</x:v>
      </x:c>
      <x:c r="C379" t="str">
        <x:v>Dry Grocery Item 0378</x:v>
      </x:c>
      <x:c r="D379" t="str">
        <x:v>Dry Grocery</x:v>
      </x:c>
      <x:c r="E379" t="str">
        <x:v>SUP018</x:v>
      </x:c>
    </x:row>
    <x:row r="380">
      <x:c r="A380" t="str">
        <x:v>P0379</x:v>
      </x:c>
      <x:c r="B380" t="str">
        <x:v>MAT000379</x:v>
      </x:c>
      <x:c r="C380" t="str">
        <x:v>Household Item 0379</x:v>
      </x:c>
      <x:c r="D380" t="str">
        <x:v>Household</x:v>
      </x:c>
      <x:c r="E380" t="str">
        <x:v>SUP034</x:v>
      </x:c>
    </x:row>
    <x:row r="381">
      <x:c r="A381" t="str">
        <x:v>P0380</x:v>
      </x:c>
      <x:c r="B381" t="str">
        <x:v>MAT000380</x:v>
      </x:c>
      <x:c r="C381" t="str">
        <x:v>Personal Care Item 0380</x:v>
      </x:c>
      <x:c r="D381" t="str">
        <x:v>Personal Care</x:v>
      </x:c>
      <x:c r="E381" t="str">
        <x:v>SUP011</x:v>
      </x:c>
    </x:row>
    <x:row r="382">
      <x:c r="A382" t="str">
        <x:v>P0381</x:v>
      </x:c>
      <x:c r="B382" t="str">
        <x:v>MAT000381</x:v>
      </x:c>
      <x:c r="C382" t="str">
        <x:v>Packaging Item 0381</x:v>
      </x:c>
      <x:c r="D382" t="str">
        <x:v>Packaging</x:v>
      </x:c>
      <x:c r="E382" t="str">
        <x:v>SUP035</x:v>
      </x:c>
    </x:row>
    <x:row r="383">
      <x:c r="A383" t="str">
        <x:v>P0382</x:v>
      </x:c>
      <x:c r="B383" t="str">
        <x:v>MAT000382</x:v>
      </x:c>
      <x:c r="C383" t="str">
        <x:v>Hardware Item 0382</x:v>
      </x:c>
      <x:c r="D383" t="str">
        <x:v>Hardware</x:v>
      </x:c>
      <x:c r="E383" t="str">
        <x:v>SUP001</x:v>
      </x:c>
    </x:row>
    <x:row r="384">
      <x:c r="A384" t="str">
        <x:v>P0383</x:v>
      </x:c>
      <x:c r="B384" t="str">
        <x:v>MAT000383</x:v>
      </x:c>
      <x:c r="C384" t="str">
        <x:v>Electrical Item 0383</x:v>
      </x:c>
      <x:c r="D384" t="str">
        <x:v>Electrical</x:v>
      </x:c>
      <x:c r="E384" t="str">
        <x:v>SUP064</x:v>
      </x:c>
    </x:row>
    <x:row r="385">
      <x:c r="A385" t="str">
        <x:v>P0384</x:v>
      </x:c>
      <x:c r="B385" t="str">
        <x:v>MAT000384</x:v>
      </x:c>
      <x:c r="C385" t="str">
        <x:v>Cleaning Item 0384</x:v>
      </x:c>
      <x:c r="D385" t="str">
        <x:v>Cleaning</x:v>
      </x:c>
      <x:c r="E385" t="str">
        <x:v>SUP004</x:v>
      </x:c>
    </x:row>
    <x:row r="386">
      <x:c r="A386" t="str">
        <x:v>P0385</x:v>
      </x:c>
      <x:c r="B386" t="str">
        <x:v>MAT000385</x:v>
      </x:c>
      <x:c r="C386" t="str">
        <x:v>Beverages Item 0385</x:v>
      </x:c>
      <x:c r="D386" t="str">
        <x:v>Beverages</x:v>
      </x:c>
      <x:c r="E386" t="str">
        <x:v>SUP016</x:v>
      </x:c>
    </x:row>
    <x:row r="387">
      <x:c r="A387" t="str">
        <x:v>P0386</x:v>
      </x:c>
      <x:c r="B387" t="str">
        <x:v>MAT000386</x:v>
      </x:c>
      <x:c r="C387" t="str">
        <x:v>Dry Grocery Item 0386</x:v>
      </x:c>
      <x:c r="D387" t="str">
        <x:v>Dry Grocery</x:v>
      </x:c>
      <x:c r="E387" t="str">
        <x:v>SUP059</x:v>
      </x:c>
    </x:row>
    <x:row r="388">
      <x:c r="A388" t="str">
        <x:v>P0387</x:v>
      </x:c>
      <x:c r="B388" t="str">
        <x:v>MAT000387</x:v>
      </x:c>
      <x:c r="C388" t="str">
        <x:v>Household Item 0387</x:v>
      </x:c>
      <x:c r="D388" t="str">
        <x:v>Household</x:v>
      </x:c>
      <x:c r="E388" t="str">
        <x:v>SUP018</x:v>
      </x:c>
    </x:row>
    <x:row r="389">
      <x:c r="A389" t="str">
        <x:v>P0388</x:v>
      </x:c>
      <x:c r="B389" t="str">
        <x:v>MAT000388</x:v>
      </x:c>
      <x:c r="C389" t="str">
        <x:v>Personal Care Item 0388</x:v>
      </x:c>
      <x:c r="D389" t="str">
        <x:v>Personal Care</x:v>
      </x:c>
      <x:c r="E389" t="str">
        <x:v>SUP014</x:v>
      </x:c>
    </x:row>
    <x:row r="390">
      <x:c r="A390" t="str">
        <x:v>P0389</x:v>
      </x:c>
      <x:c r="B390" t="str">
        <x:v>MAT000389</x:v>
      </x:c>
      <x:c r="C390" t="str">
        <x:v>Packaging Item 0389</x:v>
      </x:c>
      <x:c r="D390" t="str">
        <x:v>Packaging</x:v>
      </x:c>
      <x:c r="E390" t="str">
        <x:v>SUP018</x:v>
      </x:c>
    </x:row>
    <x:row r="391">
      <x:c r="A391" t="str">
        <x:v>P0390</x:v>
      </x:c>
      <x:c r="B391" t="str">
        <x:v>MAT000390</x:v>
      </x:c>
      <x:c r="C391" t="str">
        <x:v>Hardware Item 0390</x:v>
      </x:c>
      <x:c r="D391" t="str">
        <x:v>Hardware</x:v>
      </x:c>
      <x:c r="E391" t="str">
        <x:v>SUP040</x:v>
      </x:c>
    </x:row>
    <x:row r="392">
      <x:c r="A392" t="str">
        <x:v>P0391</x:v>
      </x:c>
      <x:c r="B392" t="str">
        <x:v>MAT000391</x:v>
      </x:c>
      <x:c r="C392" t="str">
        <x:v>Electrical Item 0391</x:v>
      </x:c>
      <x:c r="D392" t="str">
        <x:v>Electrical</x:v>
      </x:c>
      <x:c r="E392" t="str">
        <x:v>SUP026</x:v>
      </x:c>
    </x:row>
    <x:row r="393">
      <x:c r="A393" t="str">
        <x:v>P0392</x:v>
      </x:c>
      <x:c r="B393" t="str">
        <x:v>MAT000392</x:v>
      </x:c>
      <x:c r="C393" t="str">
        <x:v>Cleaning Item 0392</x:v>
      </x:c>
      <x:c r="D393" t="str">
        <x:v>Cleaning</x:v>
      </x:c>
      <x:c r="E393" t="str">
        <x:v>SUP052</x:v>
      </x:c>
    </x:row>
    <x:row r="394">
      <x:c r="A394" t="str">
        <x:v>P0393</x:v>
      </x:c>
      <x:c r="B394" t="str">
        <x:v>MAT000393</x:v>
      </x:c>
      <x:c r="C394" t="str">
        <x:v>Beverages Item 0393</x:v>
      </x:c>
      <x:c r="D394" t="str">
        <x:v>Beverages</x:v>
      </x:c>
      <x:c r="E394" t="str">
        <x:v>SUP003</x:v>
      </x:c>
    </x:row>
    <x:row r="395">
      <x:c r="A395" t="str">
        <x:v>P0394</x:v>
      </x:c>
      <x:c r="B395" t="str">
        <x:v>MAT000394</x:v>
      </x:c>
      <x:c r="C395" t="str">
        <x:v>Dry Grocery Item 0394</x:v>
      </x:c>
      <x:c r="D395" t="str">
        <x:v>Dry Grocery</x:v>
      </x:c>
      <x:c r="E395" t="str">
        <x:v>SUP042</x:v>
      </x:c>
    </x:row>
    <x:row r="396">
      <x:c r="A396" t="str">
        <x:v>P0395</x:v>
      </x:c>
      <x:c r="B396" t="str">
        <x:v>MAT000395</x:v>
      </x:c>
      <x:c r="C396" t="str">
        <x:v>Household Item 0395</x:v>
      </x:c>
      <x:c r="D396" t="str">
        <x:v>Household</x:v>
      </x:c>
      <x:c r="E396" t="str">
        <x:v>SUP023</x:v>
      </x:c>
    </x:row>
    <x:row r="397">
      <x:c r="A397" t="str">
        <x:v>P0396</x:v>
      </x:c>
      <x:c r="B397" t="str">
        <x:v>MAT000396</x:v>
      </x:c>
      <x:c r="C397" t="str">
        <x:v>Personal Care Item 0396</x:v>
      </x:c>
      <x:c r="D397" t="str">
        <x:v>Personal Care</x:v>
      </x:c>
      <x:c r="E397" t="str">
        <x:v>SUP028</x:v>
      </x:c>
    </x:row>
    <x:row r="398">
      <x:c r="A398" t="str">
        <x:v>P0397</x:v>
      </x:c>
      <x:c r="B398" t="str">
        <x:v>MAT000397</x:v>
      </x:c>
      <x:c r="C398" t="str">
        <x:v>Packaging Item 0397</x:v>
      </x:c>
      <x:c r="D398" t="str">
        <x:v>Packaging</x:v>
      </x:c>
      <x:c r="E398" t="str">
        <x:v>SUP030</x:v>
      </x:c>
    </x:row>
    <x:row r="399">
      <x:c r="A399" t="str">
        <x:v>P0398</x:v>
      </x:c>
      <x:c r="B399" t="str">
        <x:v>MAT000398</x:v>
      </x:c>
      <x:c r="C399" t="str">
        <x:v>Hardware Item 0398</x:v>
      </x:c>
      <x:c r="D399" t="str">
        <x:v>Hardware</x:v>
      </x:c>
      <x:c r="E399" t="str">
        <x:v>SUP051</x:v>
      </x:c>
    </x:row>
    <x:row r="400">
      <x:c r="A400" t="str">
        <x:v>P0399</x:v>
      </x:c>
      <x:c r="B400" t="str">
        <x:v>MAT000399</x:v>
      </x:c>
      <x:c r="C400" t="str">
        <x:v>Electrical Item 0399</x:v>
      </x:c>
      <x:c r="D400" t="str">
        <x:v>Electrical</x:v>
      </x:c>
      <x:c r="E400" t="str">
        <x:v>SUP006</x:v>
      </x:c>
    </x:row>
    <x:row r="401">
      <x:c r="A401" t="str">
        <x:v>P0400</x:v>
      </x:c>
      <x:c r="B401" t="str">
        <x:v>MAT000400</x:v>
      </x:c>
      <x:c r="C401" t="str">
        <x:v>Cleaning Item 0400</x:v>
      </x:c>
      <x:c r="D401" t="str">
        <x:v>Cleaning</x:v>
      </x:c>
      <x:c r="E401" t="str">
        <x:v>SUP022</x:v>
      </x:c>
    </x:row>
    <x:row r="402">
      <x:c r="A402" t="str">
        <x:v>P0401</x:v>
      </x:c>
      <x:c r="B402" t="str">
        <x:v>MAT000401</x:v>
      </x:c>
      <x:c r="C402" t="str">
        <x:v>Beverages Item 0401</x:v>
      </x:c>
      <x:c r="D402" t="str">
        <x:v>Beverages</x:v>
      </x:c>
      <x:c r="E402" t="str">
        <x:v>SUP043</x:v>
      </x:c>
    </x:row>
    <x:row r="403">
      <x:c r="A403" t="str">
        <x:v>P0402</x:v>
      </x:c>
      <x:c r="B403" t="str">
        <x:v>MAT000402</x:v>
      </x:c>
      <x:c r="C403" t="str">
        <x:v>Dry Grocery Item 0402</x:v>
      </x:c>
      <x:c r="D403" t="str">
        <x:v>Dry Grocery</x:v>
      </x:c>
      <x:c r="E403" t="str">
        <x:v>SUP005</x:v>
      </x:c>
    </x:row>
    <x:row r="404">
      <x:c r="A404" t="str">
        <x:v>P0403</x:v>
      </x:c>
      <x:c r="B404" t="str">
        <x:v>MAT000403</x:v>
      </x:c>
      <x:c r="C404" t="str">
        <x:v>Household Item 0403</x:v>
      </x:c>
      <x:c r="D404" t="str">
        <x:v>Household</x:v>
      </x:c>
      <x:c r="E404" t="str">
        <x:v>SUP042</x:v>
      </x:c>
    </x:row>
    <x:row r="405">
      <x:c r="A405" t="str">
        <x:v>P0404</x:v>
      </x:c>
      <x:c r="B405" t="str">
        <x:v>MAT000404</x:v>
      </x:c>
      <x:c r="C405" t="str">
        <x:v>Personal Care Item 0404</x:v>
      </x:c>
      <x:c r="D405" t="str">
        <x:v>Personal Care</x:v>
      </x:c>
      <x:c r="E405" t="str">
        <x:v>SUP048</x:v>
      </x:c>
    </x:row>
    <x:row r="406">
      <x:c r="A406" t="str">
        <x:v>P0405</x:v>
      </x:c>
      <x:c r="B406" t="str">
        <x:v>MAT000405</x:v>
      </x:c>
      <x:c r="C406" t="str">
        <x:v>Packaging Item 0405</x:v>
      </x:c>
      <x:c r="D406" t="str">
        <x:v>Packaging</x:v>
      </x:c>
      <x:c r="E406" t="str">
        <x:v>SUP020</x:v>
      </x:c>
    </x:row>
    <x:row r="407">
      <x:c r="A407" t="str">
        <x:v>P0406</x:v>
      </x:c>
      <x:c r="B407" t="str">
        <x:v>MAT000406</x:v>
      </x:c>
      <x:c r="C407" t="str">
        <x:v>Hardware Item 0406</x:v>
      </x:c>
      <x:c r="D407" t="str">
        <x:v>Hardware</x:v>
      </x:c>
      <x:c r="E407" t="str">
        <x:v>SUP021</x:v>
      </x:c>
    </x:row>
    <x:row r="408">
      <x:c r="A408" t="str">
        <x:v>P0407</x:v>
      </x:c>
      <x:c r="B408" t="str">
        <x:v>MAT000407</x:v>
      </x:c>
      <x:c r="C408" t="str">
        <x:v>Electrical Item 0407</x:v>
      </x:c>
      <x:c r="D408" t="str">
        <x:v>Electrical</x:v>
      </x:c>
      <x:c r="E408" t="str">
        <x:v>SUP013</x:v>
      </x:c>
    </x:row>
    <x:row r="409">
      <x:c r="A409" t="str">
        <x:v>P0408</x:v>
      </x:c>
      <x:c r="B409" t="str">
        <x:v>MAT000408</x:v>
      </x:c>
      <x:c r="C409" t="str">
        <x:v>Cleaning Item 0408</x:v>
      </x:c>
      <x:c r="D409" t="str">
        <x:v>Cleaning</x:v>
      </x:c>
      <x:c r="E409" t="str">
        <x:v>SUP042</x:v>
      </x:c>
    </x:row>
    <x:row r="410">
      <x:c r="A410" t="str">
        <x:v>P0409</x:v>
      </x:c>
      <x:c r="B410" t="str">
        <x:v>MAT000409</x:v>
      </x:c>
      <x:c r="C410" t="str">
        <x:v>Beverages Item 0409</x:v>
      </x:c>
      <x:c r="D410" t="str">
        <x:v>Beverages</x:v>
      </x:c>
      <x:c r="E410" t="str">
        <x:v>SUP043</x:v>
      </x:c>
    </x:row>
    <x:row r="411">
      <x:c r="A411" t="str">
        <x:v>P0410</x:v>
      </x:c>
      <x:c r="B411" t="str">
        <x:v>MAT000410</x:v>
      </x:c>
      <x:c r="C411" t="str">
        <x:v>Dry Grocery Item 0410</x:v>
      </x:c>
      <x:c r="D411" t="str">
        <x:v>Dry Grocery</x:v>
      </x:c>
      <x:c r="E411" t="str">
        <x:v>SUP022</x:v>
      </x:c>
    </x:row>
    <x:row r="412">
      <x:c r="A412" t="str">
        <x:v>P0411</x:v>
      </x:c>
      <x:c r="B412" t="str">
        <x:v>MAT000411</x:v>
      </x:c>
      <x:c r="C412" t="str">
        <x:v>Household Item 0411</x:v>
      </x:c>
      <x:c r="D412" t="str">
        <x:v>Household</x:v>
      </x:c>
      <x:c r="E412" t="str">
        <x:v>SUP038</x:v>
      </x:c>
    </x:row>
    <x:row r="413">
      <x:c r="A413" t="str">
        <x:v>P0412</x:v>
      </x:c>
      <x:c r="B413" t="str">
        <x:v>MAT000412</x:v>
      </x:c>
      <x:c r="C413" t="str">
        <x:v>Personal Care Item 0412</x:v>
      </x:c>
      <x:c r="D413" t="str">
        <x:v>Personal Care</x:v>
      </x:c>
      <x:c r="E413" t="str">
        <x:v>SUP061</x:v>
      </x:c>
    </x:row>
    <x:row r="414">
      <x:c r="A414" t="str">
        <x:v>P0413</x:v>
      </x:c>
      <x:c r="B414" t="str">
        <x:v>MAT000413</x:v>
      </x:c>
      <x:c r="C414" t="str">
        <x:v>Packaging Item 0413</x:v>
      </x:c>
      <x:c r="D414" t="str">
        <x:v>Packaging</x:v>
      </x:c>
      <x:c r="E414" t="str">
        <x:v>SUP033</x:v>
      </x:c>
    </x:row>
    <x:row r="415">
      <x:c r="A415" t="str">
        <x:v>P0414</x:v>
      </x:c>
      <x:c r="B415" t="str">
        <x:v>MAT000414</x:v>
      </x:c>
      <x:c r="C415" t="str">
        <x:v>Hardware Item 0414</x:v>
      </x:c>
      <x:c r="D415" t="str">
        <x:v>Hardware</x:v>
      </x:c>
      <x:c r="E415" t="str">
        <x:v>SUP003</x:v>
      </x:c>
    </x:row>
    <x:row r="416">
      <x:c r="A416" t="str">
        <x:v>P0415</x:v>
      </x:c>
      <x:c r="B416" t="str">
        <x:v>MAT000415</x:v>
      </x:c>
      <x:c r="C416" t="str">
        <x:v>Electrical Item 0415</x:v>
      </x:c>
      <x:c r="D416" t="str">
        <x:v>Electrical</x:v>
      </x:c>
      <x:c r="E416" t="str">
        <x:v>SUP050</x:v>
      </x:c>
    </x:row>
    <x:row r="417">
      <x:c r="A417" t="str">
        <x:v>P0416</x:v>
      </x:c>
      <x:c r="B417" t="str">
        <x:v>MAT000416</x:v>
      </x:c>
      <x:c r="C417" t="str">
        <x:v>Cleaning Item 0416</x:v>
      </x:c>
      <x:c r="D417" t="str">
        <x:v>Cleaning</x:v>
      </x:c>
      <x:c r="E417" t="str">
        <x:v>SUP030</x:v>
      </x:c>
    </x:row>
    <x:row r="418">
      <x:c r="A418" t="str">
        <x:v>P0417</x:v>
      </x:c>
      <x:c r="B418" t="str">
        <x:v>MAT000417</x:v>
      </x:c>
      <x:c r="C418" t="str">
        <x:v>Beverages Item 0417</x:v>
      </x:c>
      <x:c r="D418" t="str">
        <x:v>Beverages</x:v>
      </x:c>
      <x:c r="E418" t="str">
        <x:v>SUP045</x:v>
      </x:c>
    </x:row>
    <x:row r="419">
      <x:c r="A419" t="str">
        <x:v>P0418</x:v>
      </x:c>
      <x:c r="B419" t="str">
        <x:v>MAT000418</x:v>
      </x:c>
      <x:c r="C419" t="str">
        <x:v>Dry Grocery Item 0418</x:v>
      </x:c>
      <x:c r="D419" t="str">
        <x:v>Dry Grocery</x:v>
      </x:c>
      <x:c r="E419" t="str">
        <x:v>SUP012</x:v>
      </x:c>
    </x:row>
    <x:row r="420">
      <x:c r="A420" t="str">
        <x:v>P0419</x:v>
      </x:c>
      <x:c r="B420" t="str">
        <x:v>MAT000419</x:v>
      </x:c>
      <x:c r="C420" t="str">
        <x:v>Household Item 0419</x:v>
      </x:c>
      <x:c r="D420" t="str">
        <x:v>Household</x:v>
      </x:c>
      <x:c r="E420" t="str">
        <x:v>SUP013</x:v>
      </x:c>
    </x:row>
    <x:row r="421">
      <x:c r="A421" t="str">
        <x:v>P0420</x:v>
      </x:c>
      <x:c r="B421" t="str">
        <x:v>MAT000420</x:v>
      </x:c>
      <x:c r="C421" t="str">
        <x:v>Personal Care Item 0420</x:v>
      </x:c>
      <x:c r="D421" t="str">
        <x:v>Personal Care</x:v>
      </x:c>
      <x:c r="E421" t="str">
        <x:v>SUP031</x:v>
      </x:c>
    </x:row>
    <x:row r="422">
      <x:c r="A422" t="str">
        <x:v>P0421</x:v>
      </x:c>
      <x:c r="B422" t="str">
        <x:v>MAT000421</x:v>
      </x:c>
      <x:c r="C422" t="str">
        <x:v>Packaging Item 0421</x:v>
      </x:c>
      <x:c r="D422" t="str">
        <x:v>Packaging</x:v>
      </x:c>
      <x:c r="E422" t="str">
        <x:v>SUP009</x:v>
      </x:c>
    </x:row>
    <x:row r="423">
      <x:c r="A423" t="str">
        <x:v>P0422</x:v>
      </x:c>
      <x:c r="B423" t="str">
        <x:v>MAT000422</x:v>
      </x:c>
      <x:c r="C423" t="str">
        <x:v>Hardware Item 0422</x:v>
      </x:c>
      <x:c r="D423" t="str">
        <x:v>Hardware</x:v>
      </x:c>
      <x:c r="E423" t="str">
        <x:v>SUP061</x:v>
      </x:c>
    </x:row>
    <x:row r="424">
      <x:c r="A424" t="str">
        <x:v>P0423</x:v>
      </x:c>
      <x:c r="B424" t="str">
        <x:v>MAT000423</x:v>
      </x:c>
      <x:c r="C424" t="str">
        <x:v>Electrical Item 0423</x:v>
      </x:c>
      <x:c r="D424" t="str">
        <x:v>Electrical</x:v>
      </x:c>
      <x:c r="E424" t="str">
        <x:v>SUP039</x:v>
      </x:c>
    </x:row>
    <x:row r="425">
      <x:c r="A425" t="str">
        <x:v>P0424</x:v>
      </x:c>
      <x:c r="B425" t="str">
        <x:v>MAT000424</x:v>
      </x:c>
      <x:c r="C425" t="str">
        <x:v>Cleaning Item 0424</x:v>
      </x:c>
      <x:c r="D425" t="str">
        <x:v>Cleaning</x:v>
      </x:c>
      <x:c r="E425" t="str">
        <x:v>SUP041</x:v>
      </x:c>
    </x:row>
    <x:row r="426">
      <x:c r="A426" t="str">
        <x:v>P0425</x:v>
      </x:c>
      <x:c r="B426" t="str">
        <x:v>MAT000425</x:v>
      </x:c>
      <x:c r="C426" t="str">
        <x:v>Beverages Item 0425</x:v>
      </x:c>
      <x:c r="D426" t="str">
        <x:v>Beverages</x:v>
      </x:c>
      <x:c r="E426" t="str">
        <x:v>SUP018</x:v>
      </x:c>
    </x:row>
    <x:row r="427">
      <x:c r="A427" t="str">
        <x:v>P0426</x:v>
      </x:c>
      <x:c r="B427" t="str">
        <x:v>MAT000426</x:v>
      </x:c>
      <x:c r="C427" t="str">
        <x:v>Dry Grocery Item 0426</x:v>
      </x:c>
      <x:c r="D427" t="str">
        <x:v>Dry Grocery</x:v>
      </x:c>
      <x:c r="E427" t="str">
        <x:v>SUP006</x:v>
      </x:c>
    </x:row>
    <x:row r="428">
      <x:c r="A428" t="str">
        <x:v>P0427</x:v>
      </x:c>
      <x:c r="B428" t="str">
        <x:v>MAT000427</x:v>
      </x:c>
      <x:c r="C428" t="str">
        <x:v>Household Item 0427</x:v>
      </x:c>
      <x:c r="D428" t="str">
        <x:v>Household</x:v>
      </x:c>
      <x:c r="E428" t="str">
        <x:v>SUP063</x:v>
      </x:c>
    </x:row>
    <x:row r="429">
      <x:c r="A429" t="str">
        <x:v>P0428</x:v>
      </x:c>
      <x:c r="B429" t="str">
        <x:v>MAT000428</x:v>
      </x:c>
      <x:c r="C429" t="str">
        <x:v>Personal Care Item 0428</x:v>
      </x:c>
      <x:c r="D429" t="str">
        <x:v>Personal Care</x:v>
      </x:c>
      <x:c r="E429" t="str">
        <x:v>SUP024</x:v>
      </x:c>
    </x:row>
    <x:row r="430">
      <x:c r="A430" t="str">
        <x:v>P0429</x:v>
      </x:c>
      <x:c r="B430" t="str">
        <x:v>MAT000429</x:v>
      </x:c>
      <x:c r="C430" t="str">
        <x:v>Packaging Item 0429</x:v>
      </x:c>
      <x:c r="D430" t="str">
        <x:v>Packaging</x:v>
      </x:c>
      <x:c r="E430" t="str">
        <x:v>SUP024</x:v>
      </x:c>
    </x:row>
    <x:row r="431">
      <x:c r="A431" t="str">
        <x:v>P0430</x:v>
      </x:c>
      <x:c r="B431" t="str">
        <x:v>MAT000430</x:v>
      </x:c>
      <x:c r="C431" t="str">
        <x:v>Hardware Item 0430</x:v>
      </x:c>
      <x:c r="D431" t="str">
        <x:v>Hardware</x:v>
      </x:c>
      <x:c r="E431" t="str">
        <x:v>SUP021</x:v>
      </x:c>
    </x:row>
    <x:row r="432">
      <x:c r="A432" t="str">
        <x:v>P0431</x:v>
      </x:c>
      <x:c r="B432" t="str">
        <x:v>MAT000431</x:v>
      </x:c>
      <x:c r="C432" t="str">
        <x:v>Electrical Item 0431</x:v>
      </x:c>
      <x:c r="D432" t="str">
        <x:v>Electrical</x:v>
      </x:c>
      <x:c r="E432" t="str">
        <x:v>SUP036</x:v>
      </x:c>
    </x:row>
    <x:row r="433">
      <x:c r="A433" t="str">
        <x:v>P0432</x:v>
      </x:c>
      <x:c r="B433" t="str">
        <x:v>MAT000432</x:v>
      </x:c>
      <x:c r="C433" t="str">
        <x:v>Cleaning Item 0432</x:v>
      </x:c>
      <x:c r="D433" t="str">
        <x:v>Cleaning</x:v>
      </x:c>
      <x:c r="E433" t="str">
        <x:v>SUP042</x:v>
      </x:c>
    </x:row>
    <x:row r="434">
      <x:c r="A434" t="str">
        <x:v>P0433</x:v>
      </x:c>
      <x:c r="B434" t="str">
        <x:v>MAT000433</x:v>
      </x:c>
      <x:c r="C434" t="str">
        <x:v>Beverages Item 0433</x:v>
      </x:c>
      <x:c r="D434" t="str">
        <x:v>Beverages</x:v>
      </x:c>
      <x:c r="E434" t="str">
        <x:v>SUP005</x:v>
      </x:c>
    </x:row>
    <x:row r="435">
      <x:c r="A435" t="str">
        <x:v>P0434</x:v>
      </x:c>
      <x:c r="B435" t="str">
        <x:v>MAT000434</x:v>
      </x:c>
      <x:c r="C435" t="str">
        <x:v>Dry Grocery Item 0434</x:v>
      </x:c>
      <x:c r="D435" t="str">
        <x:v>Dry Grocery</x:v>
      </x:c>
      <x:c r="E435" t="str">
        <x:v>SUP039</x:v>
      </x:c>
    </x:row>
    <x:row r="436">
      <x:c r="A436" t="str">
        <x:v>P0435</x:v>
      </x:c>
      <x:c r="B436" t="str">
        <x:v>MAT000435</x:v>
      </x:c>
      <x:c r="C436" t="str">
        <x:v>Household Item 0435</x:v>
      </x:c>
      <x:c r="D436" t="str">
        <x:v>Household</x:v>
      </x:c>
      <x:c r="E436" t="str">
        <x:v>SUP033</x:v>
      </x:c>
    </x:row>
    <x:row r="437">
      <x:c r="A437" t="str">
        <x:v>P0436</x:v>
      </x:c>
      <x:c r="B437" t="str">
        <x:v>MAT000436</x:v>
      </x:c>
      <x:c r="C437" t="str">
        <x:v>Personal Care Item 0436</x:v>
      </x:c>
      <x:c r="D437" t="str">
        <x:v>Personal Care</x:v>
      </x:c>
      <x:c r="E437" t="str">
        <x:v>SUP063</x:v>
      </x:c>
    </x:row>
    <x:row r="438">
      <x:c r="A438" t="str">
        <x:v>P0437</x:v>
      </x:c>
      <x:c r="B438" t="str">
        <x:v>MAT000437</x:v>
      </x:c>
      <x:c r="C438" t="str">
        <x:v>Packaging Item 0437</x:v>
      </x:c>
      <x:c r="D438" t="str">
        <x:v>Packaging</x:v>
      </x:c>
      <x:c r="E438" t="str">
        <x:v>SUP023</x:v>
      </x:c>
    </x:row>
    <x:row r="439">
      <x:c r="A439" t="str">
        <x:v>P0438</x:v>
      </x:c>
      <x:c r="B439" t="str">
        <x:v>MAT000438</x:v>
      </x:c>
      <x:c r="C439" t="str">
        <x:v>Hardware Item 0438</x:v>
      </x:c>
      <x:c r="D439" t="str">
        <x:v>Hardware</x:v>
      </x:c>
      <x:c r="E439" t="str">
        <x:v>SUP055</x:v>
      </x:c>
    </x:row>
    <x:row r="440">
      <x:c r="A440" t="str">
        <x:v>P0439</x:v>
      </x:c>
      <x:c r="B440" t="str">
        <x:v>MAT000439</x:v>
      </x:c>
      <x:c r="C440" t="str">
        <x:v>Electrical Item 0439</x:v>
      </x:c>
      <x:c r="D440" t="str">
        <x:v>Electrical</x:v>
      </x:c>
      <x:c r="E440" t="str">
        <x:v>SUP022</x:v>
      </x:c>
    </x:row>
    <x:row r="441">
      <x:c r="A441" t="str">
        <x:v>P0440</x:v>
      </x:c>
      <x:c r="B441" t="str">
        <x:v>MAT000440</x:v>
      </x:c>
      <x:c r="C441" t="str">
        <x:v>Cleaning Item 0440</x:v>
      </x:c>
      <x:c r="D441" t="str">
        <x:v>Cleaning</x:v>
      </x:c>
      <x:c r="E441" t="str">
        <x:v>SUP062</x:v>
      </x:c>
    </x:row>
    <x:row r="442">
      <x:c r="A442" t="str">
        <x:v>P0441</x:v>
      </x:c>
      <x:c r="B442" t="str">
        <x:v>MAT000441</x:v>
      </x:c>
      <x:c r="C442" t="str">
        <x:v>Beverages Item 0441</x:v>
      </x:c>
      <x:c r="D442" t="str">
        <x:v>Beverages</x:v>
      </x:c>
      <x:c r="E442" t="str">
        <x:v>SUP036</x:v>
      </x:c>
    </x:row>
    <x:row r="443">
      <x:c r="A443" t="str">
        <x:v>P0442</x:v>
      </x:c>
      <x:c r="B443" t="str">
        <x:v>MAT000442</x:v>
      </x:c>
      <x:c r="C443" t="str">
        <x:v>Dry Grocery Item 0442</x:v>
      </x:c>
      <x:c r="D443" t="str">
        <x:v>Dry Grocery</x:v>
      </x:c>
      <x:c r="E443" t="str">
        <x:v>SUP031</x:v>
      </x:c>
    </x:row>
    <x:row r="444">
      <x:c r="A444" t="str">
        <x:v>P0443</x:v>
      </x:c>
      <x:c r="B444" t="str">
        <x:v>MAT000443</x:v>
      </x:c>
      <x:c r="C444" t="str">
        <x:v>Household Item 0443</x:v>
      </x:c>
      <x:c r="D444" t="str">
        <x:v>Household</x:v>
      </x:c>
      <x:c r="E444" t="str">
        <x:v>SUP033</x:v>
      </x:c>
    </x:row>
    <x:row r="445">
      <x:c r="A445" t="str">
        <x:v>P0444</x:v>
      </x:c>
      <x:c r="B445" t="str">
        <x:v>MAT000444</x:v>
      </x:c>
      <x:c r="C445" t="str">
        <x:v>Personal Care Item 0444</x:v>
      </x:c>
      <x:c r="D445" t="str">
        <x:v>Personal Care</x:v>
      </x:c>
      <x:c r="E445" t="str">
        <x:v>SUP021</x:v>
      </x:c>
    </x:row>
    <x:row r="446">
      <x:c r="A446" t="str">
        <x:v>P0445</x:v>
      </x:c>
      <x:c r="B446" t="str">
        <x:v>MAT000445</x:v>
      </x:c>
      <x:c r="C446" t="str">
        <x:v>Packaging Item 0445</x:v>
      </x:c>
      <x:c r="D446" t="str">
        <x:v>Packaging</x:v>
      </x:c>
      <x:c r="E446" t="str">
        <x:v>SUP007</x:v>
      </x:c>
    </x:row>
    <x:row r="447">
      <x:c r="A447" t="str">
        <x:v>P0446</x:v>
      </x:c>
      <x:c r="B447" t="str">
        <x:v>MAT000446</x:v>
      </x:c>
      <x:c r="C447" t="str">
        <x:v>Hardware Item 0446</x:v>
      </x:c>
      <x:c r="D447" t="str">
        <x:v>Hardware</x:v>
      </x:c>
      <x:c r="E447" t="str">
        <x:v>SUP048</x:v>
      </x:c>
    </x:row>
    <x:row r="448">
      <x:c r="A448" t="str">
        <x:v>P0447</x:v>
      </x:c>
      <x:c r="B448" t="str">
        <x:v>MAT000447</x:v>
      </x:c>
      <x:c r="C448" t="str">
        <x:v>Electrical Item 0447</x:v>
      </x:c>
      <x:c r="D448" t="str">
        <x:v>Electrical</x:v>
      </x:c>
      <x:c r="E448" t="str">
        <x:v>SUP021</x:v>
      </x:c>
    </x:row>
    <x:row r="449">
      <x:c r="A449" t="str">
        <x:v>P0448</x:v>
      </x:c>
      <x:c r="B449" t="str">
        <x:v>MAT000448</x:v>
      </x:c>
      <x:c r="C449" t="str">
        <x:v>Cleaning Item 0448</x:v>
      </x:c>
      <x:c r="D449" t="str">
        <x:v>Cleaning</x:v>
      </x:c>
      <x:c r="E449" t="str">
        <x:v>SUP008</x:v>
      </x:c>
    </x:row>
    <x:row r="450">
      <x:c r="A450" t="str">
        <x:v>P0449</x:v>
      </x:c>
      <x:c r="B450" t="str">
        <x:v>MAT000449</x:v>
      </x:c>
      <x:c r="C450" t="str">
        <x:v>Beverages Item 0449</x:v>
      </x:c>
      <x:c r="D450" t="str">
        <x:v>Beverages</x:v>
      </x:c>
      <x:c r="E450" t="str">
        <x:v>SUP015</x:v>
      </x:c>
    </x:row>
    <x:row r="451">
      <x:c r="A451" t="str">
        <x:v>P0450</x:v>
      </x:c>
      <x:c r="B451" t="str">
        <x:v>MAT000450</x:v>
      </x:c>
      <x:c r="C451" t="str">
        <x:v>Dry Grocery Item 0450</x:v>
      </x:c>
      <x:c r="D451" t="str">
        <x:v>Dry Grocery</x:v>
      </x:c>
      <x:c r="E451" t="str">
        <x:v>SUP030</x:v>
      </x:c>
    </x:row>
    <x:row r="452">
      <x:c r="A452" t="str">
        <x:v>P0451</x:v>
      </x:c>
      <x:c r="B452" t="str">
        <x:v>MAT000451</x:v>
      </x:c>
      <x:c r="C452" t="str">
        <x:v>Household Item 0451</x:v>
      </x:c>
      <x:c r="D452" t="str">
        <x:v>Household</x:v>
      </x:c>
      <x:c r="E452" t="str">
        <x:v>SUP009</x:v>
      </x:c>
    </x:row>
    <x:row r="453">
      <x:c r="A453" t="str">
        <x:v>P0452</x:v>
      </x:c>
      <x:c r="B453" t="str">
        <x:v>MAT000452</x:v>
      </x:c>
      <x:c r="C453" t="str">
        <x:v>Personal Care Item 0452</x:v>
      </x:c>
      <x:c r="D453" t="str">
        <x:v>Personal Care</x:v>
      </x:c>
      <x:c r="E453" t="str">
        <x:v>SUP005</x:v>
      </x:c>
    </x:row>
    <x:row r="454">
      <x:c r="A454" t="str">
        <x:v>P0453</x:v>
      </x:c>
      <x:c r="B454" t="str">
        <x:v>MAT000453</x:v>
      </x:c>
      <x:c r="C454" t="str">
        <x:v>Packaging Item 0453</x:v>
      </x:c>
      <x:c r="D454" t="str">
        <x:v>Packaging</x:v>
      </x:c>
      <x:c r="E454" t="str">
        <x:v>SUP007</x:v>
      </x:c>
    </x:row>
    <x:row r="455">
      <x:c r="A455" t="str">
        <x:v>P0454</x:v>
      </x:c>
      <x:c r="B455" t="str">
        <x:v>MAT000454</x:v>
      </x:c>
      <x:c r="C455" t="str">
        <x:v>Hardware Item 0454</x:v>
      </x:c>
      <x:c r="D455" t="str">
        <x:v>Hardware</x:v>
      </x:c>
      <x:c r="E455" t="str">
        <x:v>SUP018</x:v>
      </x:c>
    </x:row>
    <x:row r="456">
      <x:c r="A456" t="str">
        <x:v>P0455</x:v>
      </x:c>
      <x:c r="B456" t="str">
        <x:v>MAT000455</x:v>
      </x:c>
      <x:c r="C456" t="str">
        <x:v>Electrical Item 0455</x:v>
      </x:c>
      <x:c r="D456" t="str">
        <x:v>Electrical</x:v>
      </x:c>
      <x:c r="E456" t="str">
        <x:v>SUP037</x:v>
      </x:c>
    </x:row>
    <x:row r="457">
      <x:c r="A457" t="str">
        <x:v>P0456</x:v>
      </x:c>
      <x:c r="B457" t="str">
        <x:v>MAT000456</x:v>
      </x:c>
      <x:c r="C457" t="str">
        <x:v>Cleaning Item 0456</x:v>
      </x:c>
      <x:c r="D457" t="str">
        <x:v>Cleaning</x:v>
      </x:c>
      <x:c r="E457" t="str">
        <x:v>SUP038</x:v>
      </x:c>
    </x:row>
    <x:row r="458">
      <x:c r="A458" t="str">
        <x:v>P0457</x:v>
      </x:c>
      <x:c r="B458" t="str">
        <x:v>MAT000457</x:v>
      </x:c>
      <x:c r="C458" t="str">
        <x:v>Beverages Item 0457</x:v>
      </x:c>
      <x:c r="D458" t="str">
        <x:v>Beverages</x:v>
      </x:c>
      <x:c r="E458" t="str">
        <x:v>SUP046</x:v>
      </x:c>
    </x:row>
    <x:row r="459">
      <x:c r="A459" t="str">
        <x:v>P0458</x:v>
      </x:c>
      <x:c r="B459" t="str">
        <x:v>MAT000458</x:v>
      </x:c>
      <x:c r="C459" t="str">
        <x:v>Dry Grocery Item 0458</x:v>
      </x:c>
      <x:c r="D459" t="str">
        <x:v>Dry Grocery</x:v>
      </x:c>
      <x:c r="E459" t="str">
        <x:v>SUP023</x:v>
      </x:c>
    </x:row>
    <x:row r="460">
      <x:c r="A460" t="str">
        <x:v>P0459</x:v>
      </x:c>
      <x:c r="B460" t="str">
        <x:v>MAT000459</x:v>
      </x:c>
      <x:c r="C460" t="str">
        <x:v>Household Item 0459</x:v>
      </x:c>
      <x:c r="D460" t="str">
        <x:v>Household</x:v>
      </x:c>
      <x:c r="E460" t="str">
        <x:v>SUP059</x:v>
      </x:c>
    </x:row>
    <x:row r="461">
      <x:c r="A461" t="str">
        <x:v>P0460</x:v>
      </x:c>
      <x:c r="B461" t="str">
        <x:v>MAT000460</x:v>
      </x:c>
      <x:c r="C461" t="str">
        <x:v>Personal Care Item 0460</x:v>
      </x:c>
      <x:c r="D461" t="str">
        <x:v>Personal Care</x:v>
      </x:c>
      <x:c r="E461" t="str">
        <x:v>SUP044</x:v>
      </x:c>
    </x:row>
    <x:row r="462">
      <x:c r="A462" t="str">
        <x:v>P0461</x:v>
      </x:c>
      <x:c r="B462" t="str">
        <x:v>MAT000461</x:v>
      </x:c>
      <x:c r="C462" t="str">
        <x:v>Packaging Item 0461</x:v>
      </x:c>
      <x:c r="D462" t="str">
        <x:v>Packaging</x:v>
      </x:c>
      <x:c r="E462" t="str">
        <x:v>SUP062</x:v>
      </x:c>
    </x:row>
    <x:row r="463">
      <x:c r="A463" t="str">
        <x:v>P0462</x:v>
      </x:c>
      <x:c r="B463" t="str">
        <x:v>MAT000462</x:v>
      </x:c>
      <x:c r="C463" t="str">
        <x:v>Hardware Item 0462</x:v>
      </x:c>
      <x:c r="D463" t="str">
        <x:v>Hardware</x:v>
      </x:c>
      <x:c r="E463" t="str">
        <x:v>SUP055</x:v>
      </x:c>
    </x:row>
    <x:row r="464">
      <x:c r="A464" t="str">
        <x:v>P0463</x:v>
      </x:c>
      <x:c r="B464" t="str">
        <x:v>MAT000463</x:v>
      </x:c>
      <x:c r="C464" t="str">
        <x:v>Electrical Item 0463</x:v>
      </x:c>
      <x:c r="D464" t="str">
        <x:v>Electrical</x:v>
      </x:c>
      <x:c r="E464" t="str">
        <x:v>SUP033</x:v>
      </x:c>
    </x:row>
    <x:row r="465">
      <x:c r="A465" t="str">
        <x:v>P0464</x:v>
      </x:c>
      <x:c r="B465" t="str">
        <x:v>MAT000464</x:v>
      </x:c>
      <x:c r="C465" t="str">
        <x:v>Cleaning Item 0464</x:v>
      </x:c>
      <x:c r="D465" t="str">
        <x:v>Cleaning</x:v>
      </x:c>
      <x:c r="E465" t="str">
        <x:v>SUP010</x:v>
      </x:c>
    </x:row>
    <x:row r="466">
      <x:c r="A466" t="str">
        <x:v>P0465</x:v>
      </x:c>
      <x:c r="B466" t="str">
        <x:v>MAT000465</x:v>
      </x:c>
      <x:c r="C466" t="str">
        <x:v>Beverages Item 0465</x:v>
      </x:c>
      <x:c r="D466" t="str">
        <x:v>Beverages</x:v>
      </x:c>
      <x:c r="E466" t="str">
        <x:v>SUP001</x:v>
      </x:c>
    </x:row>
    <x:row r="467">
      <x:c r="A467" t="str">
        <x:v>P0466</x:v>
      </x:c>
      <x:c r="B467" t="str">
        <x:v>MAT000466</x:v>
      </x:c>
      <x:c r="C467" t="str">
        <x:v>Dry Grocery Item 0466</x:v>
      </x:c>
      <x:c r="D467" t="str">
        <x:v>Dry Grocery</x:v>
      </x:c>
      <x:c r="E467" t="str">
        <x:v>SUP054</x:v>
      </x:c>
    </x:row>
    <x:row r="468">
      <x:c r="A468" t="str">
        <x:v>P0467</x:v>
      </x:c>
      <x:c r="B468" t="str">
        <x:v>MAT000467</x:v>
      </x:c>
      <x:c r="C468" t="str">
        <x:v>Household Item 0467</x:v>
      </x:c>
      <x:c r="D468" t="str">
        <x:v>Household</x:v>
      </x:c>
      <x:c r="E468" t="str">
        <x:v>SUP056</x:v>
      </x:c>
    </x:row>
    <x:row r="469">
      <x:c r="A469" t="str">
        <x:v>P0468</x:v>
      </x:c>
      <x:c r="B469" t="str">
        <x:v>MAT000468</x:v>
      </x:c>
      <x:c r="C469" t="str">
        <x:v>Personal Care Item 0468</x:v>
      </x:c>
      <x:c r="D469" t="str">
        <x:v>Personal Care</x:v>
      </x:c>
      <x:c r="E469" t="str">
        <x:v>SUP046</x:v>
      </x:c>
    </x:row>
    <x:row r="470">
      <x:c r="A470" t="str">
        <x:v>P0469</x:v>
      </x:c>
      <x:c r="B470" t="str">
        <x:v>MAT000469</x:v>
      </x:c>
      <x:c r="C470" t="str">
        <x:v>Packaging Item 0469</x:v>
      </x:c>
      <x:c r="D470" t="str">
        <x:v>Packaging</x:v>
      </x:c>
      <x:c r="E470" t="str">
        <x:v>SUP052</x:v>
      </x:c>
    </x:row>
    <x:row r="471">
      <x:c r="A471" t="str">
        <x:v>P0470</x:v>
      </x:c>
      <x:c r="B471" t="str">
        <x:v>MAT000470</x:v>
      </x:c>
      <x:c r="C471" t="str">
        <x:v>Hardware Item 0470</x:v>
      </x:c>
      <x:c r="D471" t="str">
        <x:v>Hardware</x:v>
      </x:c>
      <x:c r="E471" t="str">
        <x:v>SUP057</x:v>
      </x:c>
    </x:row>
    <x:row r="472">
      <x:c r="A472" t="str">
        <x:v>P0471</x:v>
      </x:c>
      <x:c r="B472" t="str">
        <x:v>MAT000471</x:v>
      </x:c>
      <x:c r="C472" t="str">
        <x:v>Electrical Item 0471</x:v>
      </x:c>
      <x:c r="D472" t="str">
        <x:v>Electrical</x:v>
      </x:c>
      <x:c r="E472" t="str">
        <x:v>SUP021</x:v>
      </x:c>
    </x:row>
    <x:row r="473">
      <x:c r="A473" t="str">
        <x:v>P0472</x:v>
      </x:c>
      <x:c r="B473" t="str">
        <x:v>MAT000472</x:v>
      </x:c>
      <x:c r="C473" t="str">
        <x:v>Cleaning Item 0472</x:v>
      </x:c>
      <x:c r="D473" t="str">
        <x:v>Cleaning</x:v>
      </x:c>
      <x:c r="E473" t="str">
        <x:v>SUP045</x:v>
      </x:c>
    </x:row>
    <x:row r="474">
      <x:c r="A474" t="str">
        <x:v>P0473</x:v>
      </x:c>
      <x:c r="B474" t="str">
        <x:v>MAT000473</x:v>
      </x:c>
      <x:c r="C474" t="str">
        <x:v>Beverages Item 0473</x:v>
      </x:c>
      <x:c r="D474" t="str">
        <x:v>Beverages</x:v>
      </x:c>
      <x:c r="E474" t="str">
        <x:v>SUP024</x:v>
      </x:c>
    </x:row>
    <x:row r="475">
      <x:c r="A475" t="str">
        <x:v>P0474</x:v>
      </x:c>
      <x:c r="B475" t="str">
        <x:v>MAT000474</x:v>
      </x:c>
      <x:c r="C475" t="str">
        <x:v>Dry Grocery Item 0474</x:v>
      </x:c>
      <x:c r="D475" t="str">
        <x:v>Dry Grocery</x:v>
      </x:c>
      <x:c r="E475" t="str">
        <x:v>SUP040</x:v>
      </x:c>
    </x:row>
    <x:row r="476">
      <x:c r="A476" t="str">
        <x:v>P0475</x:v>
      </x:c>
      <x:c r="B476" t="str">
        <x:v>MAT000475</x:v>
      </x:c>
      <x:c r="C476" t="str">
        <x:v>Household Item 0475</x:v>
      </x:c>
      <x:c r="D476" t="str">
        <x:v>Household</x:v>
      </x:c>
      <x:c r="E476" t="str">
        <x:v>SUP012</x:v>
      </x:c>
    </x:row>
    <x:row r="477">
      <x:c r="A477" t="str">
        <x:v>P0476</x:v>
      </x:c>
      <x:c r="B477" t="str">
        <x:v>MAT000476</x:v>
      </x:c>
      <x:c r="C477" t="str">
        <x:v>Personal Care Item 0476</x:v>
      </x:c>
      <x:c r="D477" t="str">
        <x:v>Personal Care</x:v>
      </x:c>
      <x:c r="E477" t="str">
        <x:v>SUP064</x:v>
      </x:c>
    </x:row>
    <x:row r="478">
      <x:c r="A478" t="str">
        <x:v>P0477</x:v>
      </x:c>
      <x:c r="B478" t="str">
        <x:v>MAT000477</x:v>
      </x:c>
      <x:c r="C478" t="str">
        <x:v>Packaging Item 0477</x:v>
      </x:c>
      <x:c r="D478" t="str">
        <x:v>Packaging</x:v>
      </x:c>
      <x:c r="E478" t="str">
        <x:v>SUP045</x:v>
      </x:c>
    </x:row>
    <x:row r="479">
      <x:c r="A479" t="str">
        <x:v>P0478</x:v>
      </x:c>
      <x:c r="B479" t="str">
        <x:v>MAT000478</x:v>
      </x:c>
      <x:c r="C479" t="str">
        <x:v>Hardware Item 0478</x:v>
      </x:c>
      <x:c r="D479" t="str">
        <x:v>Hardware</x:v>
      </x:c>
      <x:c r="E479" t="str">
        <x:v>SUP025</x:v>
      </x:c>
    </x:row>
    <x:row r="480">
      <x:c r="A480" t="str">
        <x:v>P0479</x:v>
      </x:c>
      <x:c r="B480" t="str">
        <x:v>MAT000479</x:v>
      </x:c>
      <x:c r="C480" t="str">
        <x:v>Electrical Item 0479</x:v>
      </x:c>
      <x:c r="D480" t="str">
        <x:v>Electrical</x:v>
      </x:c>
      <x:c r="E480" t="str">
        <x:v>SUP040</x:v>
      </x:c>
    </x:row>
    <x:row r="481">
      <x:c r="A481" t="str">
        <x:v>P0480</x:v>
      </x:c>
      <x:c r="B481" t="str">
        <x:v>MAT000480</x:v>
      </x:c>
      <x:c r="C481" t="str">
        <x:v>Cleaning Item 0480</x:v>
      </x:c>
      <x:c r="D481" t="str">
        <x:v>Cleaning</x:v>
      </x:c>
      <x:c r="E481" t="str">
        <x:v>SUP044</x:v>
      </x:c>
    </x:row>
  </x:sheetData>
  <x:pageMargins left="0.7" right="0.7" top="0.75" bottom="0.75" header="0.3" footer="0.3"/>
  <x:tableParts count="1">
    <x:tablePart xmlns:r="http://schemas.openxmlformats.org/officeDocument/2006/relationships" r:id="R0bfddb50dd4c4279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19" hidden="0" customWidth="1"/>
    <x:col min="12" max="12" width="14" hidden="0" customWidth="1"/>
    <x:col min="13" max="13" width="14" hidden="0" customWidth="1"/>
  </x:cols>
  <x:sheetData>
    <x:row r="1" ht="27" customHeight="1">
      <x:c r="A1" s="15" t="str">
        <x:v>OrderID</x:v>
      </x:c>
      <x:c r="B1" s="15" t="str">
        <x:v>OrderDate</x:v>
      </x:c>
      <x:c r="C1" s="15" t="str">
        <x:v>RequiredDate</x:v>
      </x:c>
      <x:c r="D1" s="15" t="str">
        <x:v>DeliveryDate</x:v>
      </x:c>
      <x:c r="E1" s="15" t="str">
        <x:v>Region</x:v>
      </x:c>
      <x:c r="F1" s="15" t="str">
        <x:v>OrderStatus</x:v>
      </x:c>
      <x:c r="G1" s="15" t="str">
        <x:v>QtyOrdered</x:v>
      </x:c>
      <x:c r="H1" s="15" t="str">
        <x:v>QtyShipped</x:v>
      </x:c>
      <x:c r="I1" s="15" t="str">
        <x:v>BackorderQty</x:v>
      </x:c>
      <x:c r="J1" s="15" t="str">
        <x:v>NetSalesNZD</x:v>
      </x:c>
      <x:c r="K1" s="15" t="str">
        <x:v>COGSNZD</x:v>
      </x:c>
      <x:c r="L1" s="15" t="str">
        <x:v>LeadDays</x:v>
      </x:c>
      <x:c r="M1" s="15" t="str">
        <x:v>OTIFFlag</x:v>
      </x:c>
    </x:row>
    <x:row r="2">
      <x:c r="A2" t="str">
        <x:v>SO0000001</x:v>
      </x:c>
      <x:c r="B2" t="str">
        <x:v>2026-04-23</x:v>
      </x:c>
      <x:c r="C2" t="str">
        <x:v>2026-05-04</x:v>
      </x:c>
      <x:c r="D2" t="str">
        <x:v>2026-04-28</x:v>
      </x:c>
      <x:c r="E2" t="str">
        <x:v>Auckland</x:v>
      </x:c>
      <x:c r="F2" t="str">
        <x:v>Delivered</x:v>
      </x:c>
      <x:c r="G2" t="n">
        <x:v>43</x:v>
      </x:c>
      <x:c r="H2" t="n">
        <x:v>43</x:v>
      </x:c>
      <x:c r="I2" t="n">
        <x:v>0</x:v>
      </x:c>
      <x:c r="J2" t="n">
        <x:v>2166.49</x:v>
      </x:c>
      <x:c r="K2" t="n">
        <x:v>1672.14</x:v>
      </x:c>
      <x:c r="L2" t="n">
        <x:f>IFERROR(DATEVALUE(D2)-DATEVALUE(B2),"")</x:f>
        <x:v>5</x:v>
      </x:c>
      <x:c r="M2" t="n">
        <x:f>IFERROR(IF(AND(DATEVALUE(D2)&lt;=DATEVALUE(C2),I2=0),1,0),0)</x:f>
        <x:v>1</x:v>
      </x:c>
    </x:row>
    <x:row r="3">
      <x:c r="A3" t="str">
        <x:v>SO0000002</x:v>
      </x:c>
      <x:c r="B3" t="str">
        <x:v>2025-10-06</x:v>
      </x:c>
      <x:c r="C3" t="str">
        <x:v>2025-10-13</x:v>
      </x:c>
      <x:c r="D3" t="str">
        <x:v>2025-10-09</x:v>
      </x:c>
      <x:c r="E3" t="str">
        <x:v>Auckland</x:v>
      </x:c>
      <x:c r="F3" t="str">
        <x:v>Delivered</x:v>
      </x:c>
      <x:c r="G3" t="n">
        <x:v>50</x:v>
      </x:c>
      <x:c r="H3" t="n">
        <x:v>50</x:v>
      </x:c>
      <x:c r="I3" t="n">
        <x:v>0</x:v>
      </x:c>
      <x:c r="J3" t="n">
        <x:v>9262.7</x:v>
      </x:c>
      <x:c r="K3" t="n">
        <x:v>6103.2</x:v>
      </x:c>
      <x:c r="L3" t="n">
        <x:f>IFERROR(DATEVALUE(D3)-DATEVALUE(B3),"")</x:f>
        <x:v>3</x:v>
      </x:c>
      <x:c r="M3" t="n">
        <x:f>IFERROR(IF(AND(DATEVALUE(D3)&lt;=DATEVALUE(C3),I3=0),1,0),0)</x:f>
        <x:v>1</x:v>
      </x:c>
    </x:row>
    <x:row r="4">
      <x:c r="A4" t="str">
        <x:v>SO0000003</x:v>
      </x:c>
      <x:c r="B4" t="str">
        <x:v>2025-01-15</x:v>
      </x:c>
      <x:c r="C4" t="str">
        <x:v>2025-01-26</x:v>
      </x:c>
      <x:c r="D4" t="str">
        <x:v>2025-01-20</x:v>
      </x:c>
      <x:c r="E4" t="str">
        <x:v>Waikato</x:v>
      </x:c>
      <x:c r="F4" t="str">
        <x:v>Delivered</x:v>
      </x:c>
      <x:c r="G4" t="n">
        <x:v>14</x:v>
      </x:c>
      <x:c r="H4" t="n">
        <x:v>14</x:v>
      </x:c>
      <x:c r="I4" t="n">
        <x:v>0</x:v>
      </x:c>
      <x:c r="J4" t="n">
        <x:v>1719.98</x:v>
      </x:c>
      <x:c r="K4" t="n">
        <x:v>1328.96</x:v>
      </x:c>
      <x:c r="L4" t="n">
        <x:f>IFERROR(DATEVALUE(D4)-DATEVALUE(B4),"")</x:f>
        <x:v>5</x:v>
      </x:c>
      <x:c r="M4" t="n">
        <x:f>IFERROR(IF(AND(DATEVALUE(D4)&lt;=DATEVALUE(C4),I4=0),1,0),0)</x:f>
        <x:v>1</x:v>
      </x:c>
    </x:row>
    <x:row r="5">
      <x:c r="A5" t="str">
        <x:v>SO0000004</x:v>
      </x:c>
      <x:c r="B5" t="str">
        <x:v>2026-08-28</x:v>
      </x:c>
      <x:c r="C5" t="str">
        <x:v>2026-09-02</x:v>
      </x:c>
      <x:c r="D5" t="str">
        <x:v>2026-09-02</x:v>
      </x:c>
      <x:c r="E5" t="str">
        <x:v>Canterbury</x:v>
      </x:c>
      <x:c r="F5" t="str">
        <x:v>Delivered</x:v>
      </x:c>
      <x:c r="G5" t="n">
        <x:v>35</x:v>
      </x:c>
      <x:c r="H5" t="n">
        <x:v>35</x:v>
      </x:c>
      <x:c r="I5" t="n">
        <x:v>0</x:v>
      </x:c>
      <x:c r="J5" t="n">
        <x:v>6624.3</x:v>
      </x:c>
      <x:c r="K5" t="n">
        <x:v>4889.6</x:v>
      </x:c>
      <x:c r="L5" t="n">
        <x:f>IFERROR(DATEVALUE(D5)-DATEVALUE(B5),"")</x:f>
        <x:v>5</x:v>
      </x:c>
      <x:c r="M5" t="n">
        <x:f>IFERROR(IF(AND(DATEVALUE(D5)&lt;=DATEVALUE(C5),I5=0),1,0),0)</x:f>
        <x:v>1</x:v>
      </x:c>
    </x:row>
    <x:row r="6">
      <x:c r="A6" t="str">
        <x:v>SO0000005</x:v>
      </x:c>
      <x:c r="B6" t="str">
        <x:v>2025-10-22</x:v>
      </x:c>
      <x:c r="C6" t="str">
        <x:v>2025-11-02</x:v>
      </x:c>
      <x:c r="D6" t="str">
        <x:v>2025-10-26</x:v>
      </x:c>
      <x:c r="E6" t="str">
        <x:v>Auckland</x:v>
      </x:c>
      <x:c r="F6" t="str">
        <x:v>Delivered</x:v>
      </x:c>
      <x:c r="G6" t="n">
        <x:v>35</x:v>
      </x:c>
      <x:c r="H6" t="n">
        <x:v>35</x:v>
      </x:c>
      <x:c r="I6" t="n">
        <x:v>0</x:v>
      </x:c>
      <x:c r="J6" t="n">
        <x:v>4948.65</x:v>
      </x:c>
      <x:c r="K6" t="n">
        <x:v>4023</x:v>
      </x:c>
      <x:c r="L6" t="n">
        <x:f>IFERROR(DATEVALUE(D6)-DATEVALUE(B6),"")</x:f>
        <x:v>4</x:v>
      </x:c>
      <x:c r="M6" t="n">
        <x:f>IFERROR(IF(AND(DATEVALUE(D6)&lt;=DATEVALUE(C6),I6=0),1,0),0)</x:f>
        <x:v>1</x:v>
      </x:c>
    </x:row>
    <x:row r="7">
      <x:c r="A7" t="str">
        <x:v>SO0000006</x:v>
      </x:c>
      <x:c r="B7" t="str">
        <x:v>2026-03-19</x:v>
      </x:c>
      <x:c r="C7" t="str">
        <x:v>2026-03-25</x:v>
      </x:c>
      <x:c r="D7" t="str">
        <x:v>2026-03-21</x:v>
      </x:c>
      <x:c r="E7" t="str">
        <x:v>Waikato</x:v>
      </x:c>
      <x:c r="F7" t="str">
        <x:v>Delivered</x:v>
      </x:c>
      <x:c r="G7" t="n">
        <x:v>10</x:v>
      </x:c>
      <x:c r="H7" t="n">
        <x:v>10</x:v>
      </x:c>
      <x:c r="I7" t="n">
        <x:v>0</x:v>
      </x:c>
      <x:c r="J7" t="n">
        <x:v>654.3</x:v>
      </x:c>
      <x:c r="K7" t="n">
        <x:v>423.5</x:v>
      </x:c>
      <x:c r="L7" t="n">
        <x:f>IFERROR(DATEVALUE(D7)-DATEVALUE(B7),"")</x:f>
        <x:v>2</x:v>
      </x:c>
      <x:c r="M7" t="n">
        <x:f>IFERROR(IF(AND(DATEVALUE(D7)&lt;=DATEVALUE(C7),I7=0),1,0),0)</x:f>
        <x:v>1</x:v>
      </x:c>
    </x:row>
    <x:row r="8">
      <x:c r="A8" t="str">
        <x:v>SO0000007</x:v>
      </x:c>
      <x:c r="B8" t="str">
        <x:v>2026-04-15</x:v>
      </x:c>
      <x:c r="C8" t="str">
        <x:v>2026-04-25</x:v>
      </x:c>
      <x:c r="D8" t="str">
        <x:v>2026-04-20</x:v>
      </x:c>
      <x:c r="E8" t="str">
        <x:v>Waikato</x:v>
      </x:c>
      <x:c r="F8" t="str">
        <x:v>Delivered</x:v>
      </x:c>
      <x:c r="G8" t="n">
        <x:v>20</x:v>
      </x:c>
      <x:c r="H8" t="n">
        <x:v>20</x:v>
      </x:c>
      <x:c r="I8" t="n">
        <x:v>0</x:v>
      </x:c>
      <x:c r="J8" t="n">
        <x:v>3423.2</x:v>
      </x:c>
      <x:c r="K8" t="n">
        <x:v>2215.2</x:v>
      </x:c>
      <x:c r="L8" t="n">
        <x:f>IFERROR(DATEVALUE(D8)-DATEVALUE(B8),"")</x:f>
        <x:v>5</x:v>
      </x:c>
      <x:c r="M8" t="n">
        <x:f>IFERROR(IF(AND(DATEVALUE(D8)&lt;=DATEVALUE(C8),I8=0),1,0),0)</x:f>
        <x:v>1</x:v>
      </x:c>
    </x:row>
    <x:row r="9">
      <x:c r="A9" t="str">
        <x:v>SO0000008</x:v>
      </x:c>
      <x:c r="B9" t="str">
        <x:v>2026-05-06</x:v>
      </x:c>
      <x:c r="C9" t="str">
        <x:v>2026-05-12</x:v>
      </x:c>
      <x:c r="D9" t="str">
        <x:v>2026-05-10</x:v>
      </x:c>
      <x:c r="E9" t="str">
        <x:v>Waikato</x:v>
      </x:c>
      <x:c r="F9" t="str">
        <x:v>Delivered</x:v>
      </x:c>
      <x:c r="G9" t="n">
        <x:v>45</x:v>
      </x:c>
      <x:c r="H9" t="n">
        <x:v>45</x:v>
      </x:c>
      <x:c r="I9" t="n">
        <x:v>0</x:v>
      </x:c>
      <x:c r="J9" t="n">
        <x:v>2527.2</x:v>
      </x:c>
      <x:c r="K9" t="n">
        <x:v>1804.05</x:v>
      </x:c>
      <x:c r="L9" t="n">
        <x:f>IFERROR(DATEVALUE(D9)-DATEVALUE(B9),"")</x:f>
        <x:v>4</x:v>
      </x:c>
      <x:c r="M9" t="n">
        <x:f>IFERROR(IF(AND(DATEVALUE(D9)&lt;=DATEVALUE(C9),I9=0),1,0),0)</x:f>
        <x:v>1</x:v>
      </x:c>
    </x:row>
    <x:row r="10">
      <x:c r="A10" t="str">
        <x:v>SO0000009</x:v>
      </x:c>
      <x:c r="B10" t="str">
        <x:v>2025-11-03</x:v>
      </x:c>
      <x:c r="C10" t="str">
        <x:v>2025-11-10</x:v>
      </x:c>
      <x:c r="D10" t="str">
        <x:v>2025-11-09</x:v>
      </x:c>
      <x:c r="E10" t="str">
        <x:v>Canterbury</x:v>
      </x:c>
      <x:c r="F10" t="str">
        <x:v>Delivered</x:v>
      </x:c>
      <x:c r="G10" t="n">
        <x:v>8</x:v>
      </x:c>
      <x:c r="H10" t="n">
        <x:v>8</x:v>
      </x:c>
      <x:c r="I10" t="n">
        <x:v>0</x:v>
      </x:c>
      <x:c r="J10" t="n">
        <x:v>1388.1</x:v>
      </x:c>
      <x:c r="K10" t="n">
        <x:v>1071.74</x:v>
      </x:c>
      <x:c r="L10" t="n">
        <x:f>IFERROR(DATEVALUE(D10)-DATEVALUE(B10),"")</x:f>
        <x:v>6</x:v>
      </x:c>
      <x:c r="M10" t="n">
        <x:f>IFERROR(IF(AND(DATEVALUE(D10)&lt;=DATEVALUE(C10),I10=0),1,0),0)</x:f>
        <x:v>1</x:v>
      </x:c>
    </x:row>
    <x:row r="11">
      <x:c r="A11" t="str">
        <x:v>SO0000010</x:v>
      </x:c>
      <x:c r="B11" t="str">
        <x:v>2025-11-07</x:v>
      </x:c>
      <x:c r="C11" t="str">
        <x:v>2025-11-14</x:v>
      </x:c>
      <x:c r="D11" t="str">
        <x:v>2025-11-10</x:v>
      </x:c>
      <x:c r="E11" t="str">
        <x:v>Wellington</x:v>
      </x:c>
      <x:c r="F11" t="str">
        <x:v>Delivered</x:v>
      </x:c>
      <x:c r="G11" t="n">
        <x:v>40</x:v>
      </x:c>
      <x:c r="H11" t="n">
        <x:v>40</x:v>
      </x:c>
      <x:c r="I11" t="n">
        <x:v>0</x:v>
      </x:c>
      <x:c r="J11" t="n">
        <x:v>2404.8</x:v>
      </x:c>
      <x:c r="K11" t="n">
        <x:v>1660.8</x:v>
      </x:c>
      <x:c r="L11" t="n">
        <x:f>IFERROR(DATEVALUE(D11)-DATEVALUE(B11),"")</x:f>
        <x:v>3</x:v>
      </x:c>
      <x:c r="M11" t="n">
        <x:f>IFERROR(IF(AND(DATEVALUE(D11)&lt;=DATEVALUE(C11),I11=0),1,0),0)</x:f>
        <x:v>1</x:v>
      </x:c>
    </x:row>
    <x:row r="12">
      <x:c r="A12" t="str">
        <x:v>SO0000011</x:v>
      </x:c>
      <x:c r="B12" t="str">
        <x:v>2025-02-19</x:v>
      </x:c>
      <x:c r="C12" t="str">
        <x:v>2025-02-24</x:v>
      </x:c>
      <x:c r="D12" t="str">
        <x:v>2025-02-25</x:v>
      </x:c>
      <x:c r="E12" t="str">
        <x:v>Wellington</x:v>
      </x:c>
      <x:c r="F12" t="str">
        <x:v>Partially Delivered</x:v>
      </x:c>
      <x:c r="G12" t="n">
        <x:v>25</x:v>
      </x:c>
      <x:c r="H12" t="n">
        <x:v>15</x:v>
      </x:c>
      <x:c r="I12" t="n">
        <x:v>10</x:v>
      </x:c>
      <x:c r="J12" t="n">
        <x:v>391.05</x:v>
      </x:c>
      <x:c r="K12" t="n">
        <x:v>324.15</x:v>
      </x:c>
      <x:c r="L12" t="n">
        <x:f>IFERROR(DATEVALUE(D12)-DATEVALUE(B12),"")</x:f>
        <x:v>6</x:v>
      </x:c>
      <x:c r="M12" t="n">
        <x:f>IFERROR(IF(AND(DATEVALUE(D12)&lt;=DATEVALUE(C12),I12=0),1,0),0)</x:f>
        <x:v>0</x:v>
      </x:c>
    </x:row>
    <x:row r="13">
      <x:c r="A13" t="str">
        <x:v>SO0000012</x:v>
      </x:c>
      <x:c r="B13" t="str">
        <x:v>2025-05-27</x:v>
      </x:c>
      <x:c r="C13" t="str">
        <x:v>2025-06-07</x:v>
      </x:c>
      <x:c r="D13" t="str">
        <x:v>2025-06-01</x:v>
      </x:c>
      <x:c r="E13" t="str">
        <x:v>Wellington</x:v>
      </x:c>
      <x:c r="F13" t="str">
        <x:v>Delivered</x:v>
      </x:c>
      <x:c r="G13" t="n">
        <x:v>43</x:v>
      </x:c>
      <x:c r="H13" t="n">
        <x:v>43</x:v>
      </x:c>
      <x:c r="I13" t="n">
        <x:v>0</x:v>
      </x:c>
      <x:c r="J13" t="n">
        <x:v>4579.87</x:v>
      </x:c>
      <x:c r="K13" t="n">
        <x:v>3325.73</x:v>
      </x:c>
      <x:c r="L13" t="n">
        <x:f>IFERROR(DATEVALUE(D13)-DATEVALUE(B13),"")</x:f>
        <x:v>5</x:v>
      </x:c>
      <x:c r="M13" t="n">
        <x:f>IFERROR(IF(AND(DATEVALUE(D13)&lt;=DATEVALUE(C13),I13=0),1,0),0)</x:f>
        <x:v>1</x:v>
      </x:c>
    </x:row>
    <x:row r="14">
      <x:c r="A14" t="str">
        <x:v>SO0000013</x:v>
      </x:c>
      <x:c r="B14" t="str">
        <x:v>2025-09-24</x:v>
      </x:c>
      <x:c r="C14" t="str">
        <x:v>2025-10-02</x:v>
      </x:c>
      <x:c r="D14" t="str">
        <x:v>2025-10-01</x:v>
      </x:c>
      <x:c r="E14" t="str">
        <x:v>Auckland</x:v>
      </x:c>
      <x:c r="F14" t="str">
        <x:v>Partially Delivered</x:v>
      </x:c>
      <x:c r="G14" t="n">
        <x:v>33</x:v>
      </x:c>
      <x:c r="H14" t="n">
        <x:v>23</x:v>
      </x:c>
      <x:c r="I14" t="n">
        <x:v>10</x:v>
      </x:c>
      <x:c r="J14" t="n">
        <x:v>1858.43</x:v>
      </x:c>
      <x:c r="K14" t="n">
        <x:v>1488.92</x:v>
      </x:c>
      <x:c r="L14" t="n">
        <x:f>IFERROR(DATEVALUE(D14)-DATEVALUE(B14),"")</x:f>
        <x:v>7</x:v>
      </x:c>
      <x:c r="M14" t="n">
        <x:f>IFERROR(IF(AND(DATEVALUE(D14)&lt;=DATEVALUE(C14),I14=0),1,0),0)</x:f>
        <x:v>0</x:v>
      </x:c>
    </x:row>
    <x:row r="15">
      <x:c r="A15" t="str">
        <x:v>SO0000014</x:v>
      </x:c>
      <x:c r="B15" t="str">
        <x:v>2026-06-27</x:v>
      </x:c>
      <x:c r="C15" t="str">
        <x:v>2026-07-02</x:v>
      </x:c>
      <x:c r="D15" t="str">
        <x:v>2026-07-04</x:v>
      </x:c>
      <x:c r="E15" t="str">
        <x:v>Auckland</x:v>
      </x:c>
      <x:c r="F15" t="str">
        <x:v>Delivered</x:v>
      </x:c>
      <x:c r="G15" t="n">
        <x:v>45</x:v>
      </x:c>
      <x:c r="H15" t="n">
        <x:v>45</x:v>
      </x:c>
      <x:c r="I15" t="n">
        <x:v>0</x:v>
      </x:c>
      <x:c r="J15" t="n">
        <x:v>6435.5</x:v>
      </x:c>
      <x:c r="K15" t="n">
        <x:v>5234</x:v>
      </x:c>
      <x:c r="L15" t="n">
        <x:f>IFERROR(DATEVALUE(D15)-DATEVALUE(B15),"")</x:f>
        <x:v>7</x:v>
      </x:c>
      <x:c r="M15" t="n">
        <x:f>IFERROR(IF(AND(DATEVALUE(D15)&lt;=DATEVALUE(C15),I15=0),1,0),0)</x:f>
        <x:v>0</x:v>
      </x:c>
    </x:row>
    <x:row r="16">
      <x:c r="A16" t="str">
        <x:v>SO0000015</x:v>
      </x:c>
      <x:c r="B16" t="str">
        <x:v>2025-12-16</x:v>
      </x:c>
      <x:c r="C16" t="str">
        <x:v>2025-12-26</x:v>
      </x:c>
      <x:c r="D16" t="str">
        <x:v>2025-12-24</x:v>
      </x:c>
      <x:c r="E16" t="str">
        <x:v>Bay of Plenty</x:v>
      </x:c>
      <x:c r="F16" t="str">
        <x:v>Partially Delivered</x:v>
      </x:c>
      <x:c r="G16" t="n">
        <x:v>43</x:v>
      </x:c>
      <x:c r="H16" t="n">
        <x:v>33</x:v>
      </x:c>
      <x:c r="I16" t="n">
        <x:v>10</x:v>
      </x:c>
      <x:c r="J16" t="n">
        <x:v>4098.36</x:v>
      </x:c>
      <x:c r="K16" t="n">
        <x:v>2942.43</x:v>
      </x:c>
      <x:c r="L16" t="n">
        <x:f>IFERROR(DATEVALUE(D16)-DATEVALUE(B16),"")</x:f>
        <x:v>8</x:v>
      </x:c>
      <x:c r="M16" t="n">
        <x:f>IFERROR(IF(AND(DATEVALUE(D16)&lt;=DATEVALUE(C16),I16=0),1,0),0)</x:f>
        <x:v>0</x:v>
      </x:c>
    </x:row>
    <x:row r="17">
      <x:c r="A17" t="str">
        <x:v>SO0000016</x:v>
      </x:c>
      <x:c r="B17" t="str">
        <x:v>2024-10-08</x:v>
      </x:c>
      <x:c r="C17" t="str">
        <x:v>2024-10-15</x:v>
      </x:c>
      <x:c r="D17" t="str">
        <x:v>2024-10-13</x:v>
      </x:c>
      <x:c r="E17" t="str">
        <x:v>Wellington</x:v>
      </x:c>
      <x:c r="F17" t="str">
        <x:v>Partially Delivered</x:v>
      </x:c>
      <x:c r="G17" t="n">
        <x:v>103</x:v>
      </x:c>
      <x:c r="H17" t="n">
        <x:v>43</x:v>
      </x:c>
      <x:c r="I17" t="n">
        <x:v>60</x:v>
      </x:c>
      <x:c r="J17" t="n">
        <x:v>5744.52</x:v>
      </x:c>
      <x:c r="K17" t="n">
        <x:v>4506.07</x:v>
      </x:c>
      <x:c r="L17" t="n">
        <x:f>IFERROR(DATEVALUE(D17)-DATEVALUE(B17),"")</x:f>
        <x:v>5</x:v>
      </x:c>
      <x:c r="M17" t="n">
        <x:f>IFERROR(IF(AND(DATEVALUE(D17)&lt;=DATEVALUE(C17),I17=0),1,0),0)</x:f>
        <x:v>0</x:v>
      </x:c>
    </x:row>
    <x:row r="18">
      <x:c r="A18" t="str">
        <x:v>SO0000017</x:v>
      </x:c>
      <x:c r="B18" t="str">
        <x:v>2024-12-25</x:v>
      </x:c>
      <x:c r="C18" t="str">
        <x:v>2024-12-30</x:v>
      </x:c>
      <x:c r="D18" t="str">
        <x:v>2024-12-29</x:v>
      </x:c>
      <x:c r="E18" t="str">
        <x:v>Waikato</x:v>
      </x:c>
      <x:c r="F18" t="str">
        <x:v>Delivered</x:v>
      </x:c>
      <x:c r="G18" t="n">
        <x:v>38</x:v>
      </x:c>
      <x:c r="H18" t="n">
        <x:v>38</x:v>
      </x:c>
      <x:c r="I18" t="n">
        <x:v>0</x:v>
      </x:c>
      <x:c r="J18" t="n">
        <x:v>1287.13</x:v>
      </x:c>
      <x:c r="K18" t="n">
        <x:v>1002.7</x:v>
      </x:c>
      <x:c r="L18" t="n">
        <x:f>IFERROR(DATEVALUE(D18)-DATEVALUE(B18),"")</x:f>
        <x:v>4</x:v>
      </x:c>
      <x:c r="M18" t="n">
        <x:f>IFERROR(IF(AND(DATEVALUE(D18)&lt;=DATEVALUE(C18),I18=0),1,0),0)</x:f>
        <x:v>1</x:v>
      </x:c>
    </x:row>
    <x:row r="19">
      <x:c r="A19" t="str">
        <x:v>SO0000018</x:v>
      </x:c>
      <x:c r="B19" t="str">
        <x:v>2026-03-27</x:v>
      </x:c>
      <x:c r="C19" t="str">
        <x:v>2026-04-07</x:v>
      </x:c>
      <x:c r="D19" t="str">
        <x:v>2026-03-31</x:v>
      </x:c>
      <x:c r="E19" t="str">
        <x:v>Waikato</x:v>
      </x:c>
      <x:c r="F19" t="str">
        <x:v>Partially Delivered</x:v>
      </x:c>
      <x:c r="G19" t="n">
        <x:v>70</x:v>
      </x:c>
      <x:c r="H19" t="n">
        <x:v>41</x:v>
      </x:c>
      <x:c r="I19" t="n">
        <x:v>29</x:v>
      </x:c>
      <x:c r="J19" t="n">
        <x:v>1393.59</x:v>
      </x:c>
      <x:c r="K19" t="n">
        <x:v>1063.13</x:v>
      </x:c>
      <x:c r="L19" t="n">
        <x:f>IFERROR(DATEVALUE(D19)-DATEVALUE(B19),"")</x:f>
        <x:v>4</x:v>
      </x:c>
      <x:c r="M19" t="n">
        <x:f>IFERROR(IF(AND(DATEVALUE(D19)&lt;=DATEVALUE(C19),I19=0),1,0),0)</x:f>
        <x:v>0</x:v>
      </x:c>
    </x:row>
    <x:row r="20">
      <x:c r="A20" t="str">
        <x:v>SO0000019</x:v>
      </x:c>
      <x:c r="B20" t="str">
        <x:v>2025-12-09</x:v>
      </x:c>
      <x:c r="C20" t="str">
        <x:v>2025-12-18</x:v>
      </x:c>
      <x:c r="D20" t="str">
        <x:v>2025-12-16</x:v>
      </x:c>
      <x:c r="E20" t="str">
        <x:v>Waikato</x:v>
      </x:c>
      <x:c r="F20" t="str">
        <x:v>Delivered</x:v>
      </x:c>
      <x:c r="G20" t="n">
        <x:v>86</x:v>
      </x:c>
      <x:c r="H20" t="n">
        <x:v>86</x:v>
      </x:c>
      <x:c r="I20" t="n">
        <x:v>0</x:v>
      </x:c>
      <x:c r="J20" t="n">
        <x:v>13306.66</x:v>
      </x:c>
      <x:c r="K20" t="n">
        <x:v>10414.16</x:v>
      </x:c>
      <x:c r="L20" t="n">
        <x:f>IFERROR(DATEVALUE(D20)-DATEVALUE(B20),"")</x:f>
        <x:v>7</x:v>
      </x:c>
      <x:c r="M20" t="n">
        <x:f>IFERROR(IF(AND(DATEVALUE(D20)&lt;=DATEVALUE(C20),I20=0),1,0),0)</x:f>
        <x:v>1</x:v>
      </x:c>
    </x:row>
    <x:row r="21">
      <x:c r="A21" t="str">
        <x:v>SO0000020</x:v>
      </x:c>
      <x:c r="B21" t="str">
        <x:v>2026-03-12</x:v>
      </x:c>
      <x:c r="C21" t="str">
        <x:v>2026-03-23</x:v>
      </x:c>
      <x:c r="D21" t="str">
        <x:v>2026-03-18</x:v>
      </x:c>
      <x:c r="E21" t="str">
        <x:v>Wellington</x:v>
      </x:c>
      <x:c r="F21" t="str">
        <x:v>Delivered</x:v>
      </x:c>
      <x:c r="G21" t="n">
        <x:v>38</x:v>
      </x:c>
      <x:c r="H21" t="n">
        <x:v>38</x:v>
      </x:c>
      <x:c r="I21" t="n">
        <x:v>0</x:v>
      </x:c>
      <x:c r="J21" t="n">
        <x:v>3134.7</x:v>
      </x:c>
      <x:c r="K21" t="n">
        <x:v>2260.83</x:v>
      </x:c>
      <x:c r="L21" t="n">
        <x:f>IFERROR(DATEVALUE(D21)-DATEVALUE(B21),"")</x:f>
        <x:v>6</x:v>
      </x:c>
      <x:c r="M21" t="n">
        <x:f>IFERROR(IF(AND(DATEVALUE(D21)&lt;=DATEVALUE(C21),I21=0),1,0),0)</x:f>
        <x:v>1</x:v>
      </x:c>
    </x:row>
    <x:row r="22">
      <x:c r="A22" t="str">
        <x:v>SO0000021</x:v>
      </x:c>
      <x:c r="B22" t="str">
        <x:v>2024-11-03</x:v>
      </x:c>
      <x:c r="C22" t="str">
        <x:v>2024-11-13</x:v>
      </x:c>
      <x:c r="D22" t="str">
        <x:v>2024-11-08</x:v>
      </x:c>
      <x:c r="E22" t="str">
        <x:v>Bay of Plenty</x:v>
      </x:c>
      <x:c r="F22" t="str">
        <x:v>Delivered</x:v>
      </x:c>
      <x:c r="G22" t="n">
        <x:v>18</x:v>
      </x:c>
      <x:c r="H22" t="n">
        <x:v>18</x:v>
      </x:c>
      <x:c r="I22" t="n">
        <x:v>0</x:v>
      </x:c>
      <x:c r="J22" t="n">
        <x:v>2773.07</x:v>
      </x:c>
      <x:c r="K22" t="n">
        <x:v>1963.1</x:v>
      </x:c>
      <x:c r="L22" t="n">
        <x:f>IFERROR(DATEVALUE(D22)-DATEVALUE(B22),"")</x:f>
        <x:v>5</x:v>
      </x:c>
      <x:c r="M22" t="n">
        <x:f>IFERROR(IF(AND(DATEVALUE(D22)&lt;=DATEVALUE(C22),I22=0),1,0),0)</x:f>
        <x:v>1</x:v>
      </x:c>
    </x:row>
    <x:row r="23">
      <x:c r="A23" t="str">
        <x:v>SO0000022</x:v>
      </x:c>
      <x:c r="B23" t="str">
        <x:v>2026-04-18</x:v>
      </x:c>
      <x:c r="C23" t="str">
        <x:v>2026-04-24</x:v>
      </x:c>
      <x:c r="D23" t="str">
        <x:v>2026-04-28</x:v>
      </x:c>
      <x:c r="E23" t="str">
        <x:v>Wellington</x:v>
      </x:c>
      <x:c r="F23" t="str">
        <x:v>Partially Delivered</x:v>
      </x:c>
      <x:c r="G23" t="n">
        <x:v>48</x:v>
      </x:c>
      <x:c r="H23" t="n">
        <x:v>40</x:v>
      </x:c>
      <x:c r="I23" t="n">
        <x:v>8</x:v>
      </x:c>
      <x:c r="J23" t="n">
        <x:v>3563.8</x:v>
      </x:c>
      <x:c r="K23" t="n">
        <x:v>2477.5</x:v>
      </x:c>
      <x:c r="L23" t="n">
        <x:f>IFERROR(DATEVALUE(D23)-DATEVALUE(B23),"")</x:f>
        <x:v>10</x:v>
      </x:c>
      <x:c r="M23" t="n">
        <x:f>IFERROR(IF(AND(DATEVALUE(D23)&lt;=DATEVALUE(C23),I23=0),1,0),0)</x:f>
        <x:v>0</x:v>
      </x:c>
    </x:row>
    <x:row r="24">
      <x:c r="A24" t="str">
        <x:v>SO0000023</x:v>
      </x:c>
      <x:c r="B24" t="str">
        <x:v>2025-09-30</x:v>
      </x:c>
      <x:c r="C24" t="str">
        <x:v>2025-10-10</x:v>
      </x:c>
      <x:c r="D24" t="str">
        <x:v>2025-10-08</x:v>
      </x:c>
      <x:c r="E24" t="str">
        <x:v>Auckland</x:v>
      </x:c>
      <x:c r="F24" t="str">
        <x:v>Partially Delivered</x:v>
      </x:c>
      <x:c r="G24" t="n">
        <x:v>34</x:v>
      </x:c>
      <x:c r="H24" t="n">
        <x:v>13</x:v>
      </x:c>
      <x:c r="I24" t="n">
        <x:v>21</x:v>
      </x:c>
      <x:c r="J24" t="n">
        <x:v>2211.07</x:v>
      </x:c>
      <x:c r="K24" t="n">
        <x:v>1451.77</x:v>
      </x:c>
      <x:c r="L24" t="n">
        <x:f>IFERROR(DATEVALUE(D24)-DATEVALUE(B24),"")</x:f>
        <x:v>8</x:v>
      </x:c>
      <x:c r="M24" t="n">
        <x:f>IFERROR(IF(AND(DATEVALUE(D24)&lt;=DATEVALUE(C24),I24=0),1,0),0)</x:f>
        <x:v>0</x:v>
      </x:c>
    </x:row>
    <x:row r="25">
      <x:c r="A25" t="str">
        <x:v>SO0000024</x:v>
      </x:c>
      <x:c r="B25" t="str">
        <x:v>2024-10-02</x:v>
      </x:c>
      <x:c r="C25" t="str">
        <x:v>2024-10-08</x:v>
      </x:c>
      <x:c r="D25" t="str">
        <x:v>2024-10-06</x:v>
      </x:c>
      <x:c r="E25" t="str">
        <x:v>Waikato</x:v>
      </x:c>
      <x:c r="F25" t="str">
        <x:v>Delivered</x:v>
      </x:c>
      <x:c r="G25" t="n">
        <x:v>73</x:v>
      </x:c>
      <x:c r="H25" t="n">
        <x:v>73</x:v>
      </x:c>
      <x:c r="I25" t="n">
        <x:v>0</x:v>
      </x:c>
      <x:c r="J25" t="n">
        <x:v>7941.71</x:v>
      </x:c>
      <x:c r="K25" t="n">
        <x:v>5976.02</x:v>
      </x:c>
      <x:c r="L25" t="n">
        <x:f>IFERROR(DATEVALUE(D25)-DATEVALUE(B25),"")</x:f>
        <x:v>4</x:v>
      </x:c>
      <x:c r="M25" t="n">
        <x:f>IFERROR(IF(AND(DATEVALUE(D25)&lt;=DATEVALUE(C25),I25=0),1,0),0)</x:f>
        <x:v>1</x:v>
      </x:c>
    </x:row>
    <x:row r="26">
      <x:c r="A26" t="str">
        <x:v>SO0000025</x:v>
      </x:c>
      <x:c r="B26" t="str">
        <x:v>2024-12-04</x:v>
      </x:c>
      <x:c r="C26" t="str">
        <x:v>2024-12-15</x:v>
      </x:c>
      <x:c r="D26" t="str">
        <x:v>2024-12-08</x:v>
      </x:c>
      <x:c r="E26" t="str">
        <x:v>Wellington</x:v>
      </x:c>
      <x:c r="F26" t="str">
        <x:v>Partially Delivered</x:v>
      </x:c>
      <x:c r="G26" t="n">
        <x:v>35</x:v>
      </x:c>
      <x:c r="H26" t="n">
        <x:v>15</x:v>
      </x:c>
      <x:c r="I26" t="n">
        <x:v>20</x:v>
      </x:c>
      <x:c r="J26" t="n">
        <x:v>2402.55</x:v>
      </x:c>
      <x:c r="K26" t="n">
        <x:v>1623.75</x:v>
      </x:c>
      <x:c r="L26" t="n">
        <x:f>IFERROR(DATEVALUE(D26)-DATEVALUE(B26),"")</x:f>
        <x:v>4</x:v>
      </x:c>
      <x:c r="M26" t="n">
        <x:f>IFERROR(IF(AND(DATEVALUE(D26)&lt;=DATEVALUE(C26),I26=0),1,0),0)</x:f>
        <x:v>0</x:v>
      </x:c>
    </x:row>
    <x:row r="27">
      <x:c r="A27" t="str">
        <x:v>SO0000026</x:v>
      </x:c>
      <x:c r="B27" t="str">
        <x:v>2026-04-26</x:v>
      </x:c>
      <x:c r="C27" t="str">
        <x:v>2026-05-06</x:v>
      </x:c>
      <x:c r="D27" t="str">
        <x:v>2026-05-04</x:v>
      </x:c>
      <x:c r="E27" t="str">
        <x:v>Auckland</x:v>
      </x:c>
      <x:c r="F27" t="str">
        <x:v>Delivered</x:v>
      </x:c>
      <x:c r="G27" t="n">
        <x:v>18</x:v>
      </x:c>
      <x:c r="H27" t="n">
        <x:v>18</x:v>
      </x:c>
      <x:c r="I27" t="n">
        <x:v>0</x:v>
      </x:c>
      <x:c r="J27" t="n">
        <x:v>2859.42</x:v>
      </x:c>
      <x:c r="K27" t="n">
        <x:v>2032.52</x:v>
      </x:c>
      <x:c r="L27" t="n">
        <x:f>IFERROR(DATEVALUE(D27)-DATEVALUE(B27),"")</x:f>
        <x:v>8</x:v>
      </x:c>
      <x:c r="M27" t="n">
        <x:f>IFERROR(IF(AND(DATEVALUE(D27)&lt;=DATEVALUE(C27),I27=0),1,0),0)</x:f>
        <x:v>1</x:v>
      </x:c>
    </x:row>
    <x:row r="28">
      <x:c r="A28" t="str">
        <x:v>SO0000027</x:v>
      </x:c>
      <x:c r="B28" t="str">
        <x:v>2025-12-18</x:v>
      </x:c>
      <x:c r="C28" t="str">
        <x:v>2025-12-26</x:v>
      </x:c>
      <x:c r="D28" t="str">
        <x:v>2025-12-23</x:v>
      </x:c>
      <x:c r="E28" t="str">
        <x:v>Canterbury</x:v>
      </x:c>
      <x:c r="F28" t="str">
        <x:v>Delivered</x:v>
      </x:c>
      <x:c r="G28" t="n">
        <x:v>48</x:v>
      </x:c>
      <x:c r="H28" t="n">
        <x:v>48</x:v>
      </x:c>
      <x:c r="I28" t="n">
        <x:v>0</x:v>
      </x:c>
      <x:c r="J28" t="n">
        <x:v>5957.84</x:v>
      </x:c>
      <x:c r="K28" t="n">
        <x:v>4696.96</x:v>
      </x:c>
      <x:c r="L28" t="n">
        <x:f>IFERROR(DATEVALUE(D28)-DATEVALUE(B28),"")</x:f>
        <x:v>5</x:v>
      </x:c>
      <x:c r="M28" t="n">
        <x:f>IFERROR(IF(AND(DATEVALUE(D28)&lt;=DATEVALUE(C28),I28=0),1,0),0)</x:f>
        <x:v>1</x:v>
      </x:c>
    </x:row>
    <x:row r="29">
      <x:c r="A29" t="str">
        <x:v>SO0000028</x:v>
      </x:c>
      <x:c r="B29" t="str">
        <x:v>2024-12-12</x:v>
      </x:c>
      <x:c r="C29" t="str">
        <x:v>2024-12-19</x:v>
      </x:c>
      <x:c r="D29" t="str">
        <x:v>2024-12-16</x:v>
      </x:c>
      <x:c r="E29" t="str">
        <x:v>Auckland</x:v>
      </x:c>
      <x:c r="F29" t="str">
        <x:v>Delivered</x:v>
      </x:c>
      <x:c r="G29" t="n">
        <x:v>35</x:v>
      </x:c>
      <x:c r="H29" t="n">
        <x:v>35</x:v>
      </x:c>
      <x:c r="I29" t="n">
        <x:v>0</x:v>
      </x:c>
      <x:c r="J29" t="n">
        <x:v>2811.45</x:v>
      </x:c>
      <x:c r="K29" t="n">
        <x:v>2048.85</x:v>
      </x:c>
      <x:c r="L29" t="n">
        <x:f>IFERROR(DATEVALUE(D29)-DATEVALUE(B29),"")</x:f>
        <x:v>4</x:v>
      </x:c>
      <x:c r="M29" t="n">
        <x:f>IFERROR(IF(AND(DATEVALUE(D29)&lt;=DATEVALUE(C29),I29=0),1,0),0)</x:f>
        <x:v>1</x:v>
      </x:c>
    </x:row>
    <x:row r="30">
      <x:c r="A30" t="str">
        <x:v>SO0000029</x:v>
      </x:c>
      <x:c r="B30" t="str">
        <x:v>2026-01-12</x:v>
      </x:c>
      <x:c r="C30" t="str">
        <x:v>2026-01-17</x:v>
      </x:c>
      <x:c r="D30" t="str">
        <x:v>2026-01-18</x:v>
      </x:c>
      <x:c r="E30" t="str">
        <x:v>Bay of Plenty</x:v>
      </x:c>
      <x:c r="F30" t="str">
        <x:v>Delivered</x:v>
      </x:c>
      <x:c r="G30" t="n">
        <x:v>25</x:v>
      </x:c>
      <x:c r="H30" t="n">
        <x:v>25</x:v>
      </x:c>
      <x:c r="I30" t="n">
        <x:v>0</x:v>
      </x:c>
      <x:c r="J30" t="n">
        <x:v>3522.65</x:v>
      </x:c>
      <x:c r="K30" t="n">
        <x:v>2606.2</x:v>
      </x:c>
      <x:c r="L30" t="n">
        <x:f>IFERROR(DATEVALUE(D30)-DATEVALUE(B30),"")</x:f>
        <x:v>6</x:v>
      </x:c>
      <x:c r="M30" t="n">
        <x:f>IFERROR(IF(AND(DATEVALUE(D30)&lt;=DATEVALUE(C30),I30=0),1,0),0)</x:f>
        <x:v>0</x:v>
      </x:c>
    </x:row>
    <x:row r="31">
      <x:c r="A31" t="str">
        <x:v>SO0000030</x:v>
      </x:c>
      <x:c r="B31" t="str">
        <x:v>2026-05-21</x:v>
      </x:c>
      <x:c r="C31" t="str">
        <x:v>2026-06-01</x:v>
      </x:c>
      <x:c r="D31" t="str">
        <x:v>2026-05-24</x:v>
      </x:c>
      <x:c r="E31" t="str">
        <x:v>Waikato</x:v>
      </x:c>
      <x:c r="F31" t="str">
        <x:v>Partially Delivered</x:v>
      </x:c>
      <x:c r="G31" t="n">
        <x:v>104</x:v>
      </x:c>
      <x:c r="H31" t="n">
        <x:v>30</x:v>
      </x:c>
      <x:c r="I31" t="n">
        <x:v>74</x:v>
      </x:c>
      <x:c r="J31" t="n">
        <x:v>5206.8</x:v>
      </x:c>
      <x:c r="K31" t="n">
        <x:v>4009.2</x:v>
      </x:c>
      <x:c r="L31" t="n">
        <x:f>IFERROR(DATEVALUE(D31)-DATEVALUE(B31),"")</x:f>
        <x:v>3</x:v>
      </x:c>
      <x:c r="M31" t="n">
        <x:f>IFERROR(IF(AND(DATEVALUE(D31)&lt;=DATEVALUE(C31),I31=0),1,0),0)</x:f>
        <x:v>0</x:v>
      </x:c>
    </x:row>
    <x:row r="32">
      <x:c r="A32" t="str">
        <x:v>SO0000031</x:v>
      </x:c>
      <x:c r="B32" t="str">
        <x:v>2026-02-03</x:v>
      </x:c>
      <x:c r="C32" t="str">
        <x:v>2026-02-13</x:v>
      </x:c>
      <x:c r="D32" t="str">
        <x:v>2026-02-09</x:v>
      </x:c>
      <x:c r="E32" t="str">
        <x:v>Waikato</x:v>
      </x:c>
      <x:c r="F32" t="str">
        <x:v>Delivered</x:v>
      </x:c>
      <x:c r="G32" t="n">
        <x:v>28</x:v>
      </x:c>
      <x:c r="H32" t="n">
        <x:v>28</x:v>
      </x:c>
      <x:c r="I32" t="n">
        <x:v>0</x:v>
      </x:c>
      <x:c r="J32" t="n">
        <x:v>2850.79</x:v>
      </x:c>
      <x:c r="K32" t="n">
        <x:v>2201.07</x:v>
      </x:c>
      <x:c r="L32" t="n">
        <x:f>IFERROR(DATEVALUE(D32)-DATEVALUE(B32),"")</x:f>
        <x:v>6</x:v>
      </x:c>
      <x:c r="M32" t="n">
        <x:f>IFERROR(IF(AND(DATEVALUE(D32)&lt;=DATEVALUE(C32),I32=0),1,0),0)</x:f>
        <x:v>1</x:v>
      </x:c>
    </x:row>
    <x:row r="33">
      <x:c r="A33" t="str">
        <x:v>SO0000032</x:v>
      </x:c>
      <x:c r="B33" t="str">
        <x:v>2025-02-21</x:v>
      </x:c>
      <x:c r="C33" t="str">
        <x:v>2025-02-27</x:v>
      </x:c>
      <x:c r="D33"/>
      <x:c r="E33" t="str">
        <x:v>Auckland</x:v>
      </x:c>
      <x:c r="F33" t="str">
        <x:v>Open</x:v>
      </x:c>
      <x:c r="G33" t="n">
        <x:v>15</x:v>
      </x:c>
      <x:c r="H33" t="n">
        <x:v>0</x:v>
      </x:c>
      <x:c r="I33" t="n">
        <x:v>15</x:v>
      </x:c>
      <x:c r="J33" t="str">
        <x:v>0.0</x:v>
      </x:c>
      <x:c r="K33" t="str">
        <x:v>0.0</x:v>
      </x:c>
      <x:c r="L33" t="str">
        <x:f>IFERROR(DATEVALUE(D33)-DATEVALUE(B33),"")</x:f>
      </x:c>
      <x:c r="M33" t="n">
        <x:f>IFERROR(IF(AND(DATEVALUE(D33)&lt;=DATEVALUE(C33),I33=0),1,0),0)</x:f>
        <x:v>0</x:v>
      </x:c>
    </x:row>
    <x:row r="34">
      <x:c r="A34" t="str">
        <x:v>SO0000033</x:v>
      </x:c>
      <x:c r="B34" t="str">
        <x:v>2025-12-16</x:v>
      </x:c>
      <x:c r="C34" t="str">
        <x:v>2025-12-23</x:v>
      </x:c>
      <x:c r="D34" t="str">
        <x:v>2025-12-18</x:v>
      </x:c>
      <x:c r="E34" t="str">
        <x:v>Auckland</x:v>
      </x:c>
      <x:c r="F34" t="str">
        <x:v>Partially Delivered</x:v>
      </x:c>
      <x:c r="G34" t="n">
        <x:v>63</x:v>
      </x:c>
      <x:c r="H34" t="n">
        <x:v>3</x:v>
      </x:c>
      <x:c r="I34" t="n">
        <x:v>60</x:v>
      </x:c>
      <x:c r="J34" t="n">
        <x:v>208.41</x:v>
      </x:c>
      <x:c r="K34" t="n">
        <x:v>137.43</x:v>
      </x:c>
      <x:c r="L34" t="n">
        <x:f>IFERROR(DATEVALUE(D34)-DATEVALUE(B34),"")</x:f>
        <x:v>2</x:v>
      </x:c>
      <x:c r="M34" t="n">
        <x:f>IFERROR(IF(AND(DATEVALUE(D34)&lt;=DATEVALUE(C34),I34=0),1,0),0)</x:f>
        <x:v>0</x:v>
      </x:c>
    </x:row>
    <x:row r="35">
      <x:c r="A35" t="str">
        <x:v>SO0000034</x:v>
      </x:c>
      <x:c r="B35" t="str">
        <x:v>2026-08-07</x:v>
      </x:c>
      <x:c r="C35" t="str">
        <x:v>2026-08-15</x:v>
      </x:c>
      <x:c r="D35" t="str">
        <x:v>2026-08-10</x:v>
      </x:c>
      <x:c r="E35" t="str">
        <x:v>Bay of Plenty</x:v>
      </x:c>
      <x:c r="F35" t="str">
        <x:v>Delivered</x:v>
      </x:c>
      <x:c r="G35" t="n">
        <x:v>60</x:v>
      </x:c>
      <x:c r="H35" t="n">
        <x:v>60</x:v>
      </x:c>
      <x:c r="I35" t="n">
        <x:v>0</x:v>
      </x:c>
      <x:c r="J35" t="n">
        <x:v>9817.35</x:v>
      </x:c>
      <x:c r="K35" t="n">
        <x:v>6784.2</x:v>
      </x:c>
      <x:c r="L35" t="n">
        <x:f>IFERROR(DATEVALUE(D35)-DATEVALUE(B35),"")</x:f>
        <x:v>3</x:v>
      </x:c>
      <x:c r="M35" t="n">
        <x:f>IFERROR(IF(AND(DATEVALUE(D35)&lt;=DATEVALUE(C35),I35=0),1,0),0)</x:f>
        <x:v>1</x:v>
      </x:c>
    </x:row>
    <x:row r="36">
      <x:c r="A36" t="str">
        <x:v>SO0000035</x:v>
      </x:c>
      <x:c r="B36" t="str">
        <x:v>2025-05-29</x:v>
      </x:c>
      <x:c r="C36" t="str">
        <x:v>2025-06-05</x:v>
      </x:c>
      <x:c r="D36" t="str">
        <x:v>2025-06-04</x:v>
      </x:c>
      <x:c r="E36" t="str">
        <x:v>Wellington</x:v>
      </x:c>
      <x:c r="F36" t="str">
        <x:v>Delivered</x:v>
      </x:c>
      <x:c r="G36" t="n">
        <x:v>15</x:v>
      </x:c>
      <x:c r="H36" t="n">
        <x:v>15</x:v>
      </x:c>
      <x:c r="I36" t="n">
        <x:v>0</x:v>
      </x:c>
      <x:c r="J36" t="n">
        <x:v>1190.4</x:v>
      </x:c>
      <x:c r="K36" t="n">
        <x:v>821.4</x:v>
      </x:c>
      <x:c r="L36" t="n">
        <x:f>IFERROR(DATEVALUE(D36)-DATEVALUE(B36),"")</x:f>
        <x:v>6</x:v>
      </x:c>
      <x:c r="M36" t="n">
        <x:f>IFERROR(IF(AND(DATEVALUE(D36)&lt;=DATEVALUE(C36),I36=0),1,0),0)</x:f>
        <x:v>1</x:v>
      </x:c>
    </x:row>
    <x:row r="37">
      <x:c r="A37" t="str">
        <x:v>SO0000036</x:v>
      </x:c>
      <x:c r="B37" t="str">
        <x:v>2026-01-15</x:v>
      </x:c>
      <x:c r="C37" t="str">
        <x:v>2026-01-24</x:v>
      </x:c>
      <x:c r="D37" t="str">
        <x:v>2026-01-18</x:v>
      </x:c>
      <x:c r="E37" t="str">
        <x:v>Auckland</x:v>
      </x:c>
      <x:c r="F37" t="str">
        <x:v>Partially Delivered</x:v>
      </x:c>
      <x:c r="G37" t="n">
        <x:v>58</x:v>
      </x:c>
      <x:c r="H37" t="n">
        <x:v>38</x:v>
      </x:c>
      <x:c r="I37" t="n">
        <x:v>20</x:v>
      </x:c>
      <x:c r="J37" t="n">
        <x:v>3573.78</x:v>
      </x:c>
      <x:c r="K37" t="n">
        <x:v>2393.66</x:v>
      </x:c>
      <x:c r="L37" t="n">
        <x:f>IFERROR(DATEVALUE(D37)-DATEVALUE(B37),"")</x:f>
        <x:v>3</x:v>
      </x:c>
      <x:c r="M37" t="n">
        <x:f>IFERROR(IF(AND(DATEVALUE(D37)&lt;=DATEVALUE(C37),I37=0),1,0),0)</x:f>
        <x:v>0</x:v>
      </x:c>
    </x:row>
    <x:row r="38">
      <x:c r="A38" t="str">
        <x:v>SO0000037</x:v>
      </x:c>
      <x:c r="B38" t="str">
        <x:v>2025-02-14</x:v>
      </x:c>
      <x:c r="C38" t="str">
        <x:v>2025-02-25</x:v>
      </x:c>
      <x:c r="D38" t="str">
        <x:v>2025-02-16</x:v>
      </x:c>
      <x:c r="E38" t="str">
        <x:v>Wellington</x:v>
      </x:c>
      <x:c r="F38" t="str">
        <x:v>Delivered</x:v>
      </x:c>
      <x:c r="G38" t="n">
        <x:v>40</x:v>
      </x:c>
      <x:c r="H38" t="n">
        <x:v>40</x:v>
      </x:c>
      <x:c r="I38" t="n">
        <x:v>0</x:v>
      </x:c>
      <x:c r="J38" t="n">
        <x:v>4076</x:v>
      </x:c>
      <x:c r="K38" t="n">
        <x:v>2889.2</x:v>
      </x:c>
      <x:c r="L38" t="n">
        <x:f>IFERROR(DATEVALUE(D38)-DATEVALUE(B38),"")</x:f>
        <x:v>2</x:v>
      </x:c>
      <x:c r="M38" t="n">
        <x:f>IFERROR(IF(AND(DATEVALUE(D38)&lt;=DATEVALUE(C38),I38=0),1,0),0)</x:f>
        <x:v>1</x:v>
      </x:c>
    </x:row>
    <x:row r="39">
      <x:c r="A39" t="str">
        <x:v>SO0000038</x:v>
      </x:c>
      <x:c r="B39" t="str">
        <x:v>2025-05-26</x:v>
      </x:c>
      <x:c r="C39" t="str">
        <x:v>2025-06-06</x:v>
      </x:c>
      <x:c r="D39" t="str">
        <x:v>2025-05-31</x:v>
      </x:c>
      <x:c r="E39" t="str">
        <x:v>Bay of Plenty</x:v>
      </x:c>
      <x:c r="F39" t="str">
        <x:v>Delivered</x:v>
      </x:c>
      <x:c r="G39" t="n">
        <x:v>28</x:v>
      </x:c>
      <x:c r="H39" t="n">
        <x:v>28</x:v>
      </x:c>
      <x:c r="I39" t="n">
        <x:v>0</x:v>
      </x:c>
      <x:c r="J39" t="n">
        <x:v>1248.76</x:v>
      </x:c>
      <x:c r="K39" t="n">
        <x:v>817.32</x:v>
      </x:c>
      <x:c r="L39" t="n">
        <x:f>IFERROR(DATEVALUE(D39)-DATEVALUE(B39),"")</x:f>
        <x:v>5</x:v>
      </x:c>
      <x:c r="M39" t="n">
        <x:f>IFERROR(IF(AND(DATEVALUE(D39)&lt;=DATEVALUE(C39),I39=0),1,0),0)</x:f>
        <x:v>1</x:v>
      </x:c>
    </x:row>
    <x:row r="40">
      <x:c r="A40" t="str">
        <x:v>SO0000039</x:v>
      </x:c>
      <x:c r="B40" t="str">
        <x:v>2026-01-07</x:v>
      </x:c>
      <x:c r="C40" t="str">
        <x:v>2026-01-14</x:v>
      </x:c>
      <x:c r="D40" t="str">
        <x:v>2026-01-14</x:v>
      </x:c>
      <x:c r="E40" t="str">
        <x:v>Canterbury</x:v>
      </x:c>
      <x:c r="F40" t="str">
        <x:v>Delivered</x:v>
      </x:c>
      <x:c r="G40" t="n">
        <x:v>5</x:v>
      </x:c>
      <x:c r="H40" t="n">
        <x:v>5</x:v>
      </x:c>
      <x:c r="I40" t="n">
        <x:v>0</x:v>
      </x:c>
      <x:c r="J40" t="n">
        <x:v>674.75</x:v>
      </x:c>
      <x:c r="K40" t="n">
        <x:v>436.45</x:v>
      </x:c>
      <x:c r="L40" t="n">
        <x:f>IFERROR(DATEVALUE(D40)-DATEVALUE(B40),"")</x:f>
        <x:v>7</x:v>
      </x:c>
      <x:c r="M40" t="n">
        <x:f>IFERROR(IF(AND(DATEVALUE(D40)&lt;=DATEVALUE(C40),I40=0),1,0),0)</x:f>
        <x:v>1</x:v>
      </x:c>
    </x:row>
    <x:row r="41">
      <x:c r="A41" t="str">
        <x:v>SO0000040</x:v>
      </x:c>
      <x:c r="B41" t="str">
        <x:v>2025-10-30</x:v>
      </x:c>
      <x:c r="C41" t="str">
        <x:v>2025-11-04</x:v>
      </x:c>
      <x:c r="D41"/>
      <x:c r="E41" t="str">
        <x:v>Waikato</x:v>
      </x:c>
      <x:c r="F41" t="str">
        <x:v>Open</x:v>
      </x:c>
      <x:c r="G41" t="n">
        <x:v>31</x:v>
      </x:c>
      <x:c r="H41" t="n">
        <x:v>0</x:v>
      </x:c>
      <x:c r="I41" t="n">
        <x:v>31</x:v>
      </x:c>
      <x:c r="J41" t="str">
        <x:v>0.0</x:v>
      </x:c>
      <x:c r="K41" t="str">
        <x:v>0.0</x:v>
      </x:c>
      <x:c r="L41" t="str">
        <x:f>IFERROR(DATEVALUE(D41)-DATEVALUE(B41),"")</x:f>
      </x:c>
      <x:c r="M41" t="n">
        <x:f>IFERROR(IF(AND(DATEVALUE(D41)&lt;=DATEVALUE(C41),I41=0),1,0),0)</x:f>
        <x:v>0</x:v>
      </x:c>
    </x:row>
    <x:row r="42">
      <x:c r="A42" t="str">
        <x:v>SO0000041</x:v>
      </x:c>
      <x:c r="B42" t="str">
        <x:v>2025-09-04</x:v>
      </x:c>
      <x:c r="C42" t="str">
        <x:v>2025-09-12</x:v>
      </x:c>
      <x:c r="D42" t="str">
        <x:v>2025-09-11</x:v>
      </x:c>
      <x:c r="E42" t="str">
        <x:v>Auckland</x:v>
      </x:c>
      <x:c r="F42" t="str">
        <x:v>Delivered</x:v>
      </x:c>
      <x:c r="G42" t="n">
        <x:v>48</x:v>
      </x:c>
      <x:c r="H42" t="n">
        <x:v>48</x:v>
      </x:c>
      <x:c r="I42" t="n">
        <x:v>0</x:v>
      </x:c>
      <x:c r="J42" t="n">
        <x:v>5760.33</x:v>
      </x:c>
      <x:c r="K42" t="n">
        <x:v>4728.98</x:v>
      </x:c>
      <x:c r="L42" t="n">
        <x:f>IFERROR(DATEVALUE(D42)-DATEVALUE(B42),"")</x:f>
        <x:v>7</x:v>
      </x:c>
      <x:c r="M42" t="n">
        <x:f>IFERROR(IF(AND(DATEVALUE(D42)&lt;=DATEVALUE(C42),I42=0),1,0),0)</x:f>
        <x:v>1</x:v>
      </x:c>
    </x:row>
    <x:row r="43">
      <x:c r="A43" t="str">
        <x:v>SO0000042</x:v>
      </x:c>
      <x:c r="B43" t="str">
        <x:v>2025-06-23</x:v>
      </x:c>
      <x:c r="C43" t="str">
        <x:v>2025-07-02</x:v>
      </x:c>
      <x:c r="D43" t="str">
        <x:v>2025-06-26</x:v>
      </x:c>
      <x:c r="E43" t="str">
        <x:v>Bay of Plenty</x:v>
      </x:c>
      <x:c r="F43" t="str">
        <x:v>Delivered</x:v>
      </x:c>
      <x:c r="G43" t="n">
        <x:v>40</x:v>
      </x:c>
      <x:c r="H43" t="n">
        <x:v>40</x:v>
      </x:c>
      <x:c r="I43" t="n">
        <x:v>0</x:v>
      </x:c>
      <x:c r="J43" t="n">
        <x:v>3409.2</x:v>
      </x:c>
      <x:c r="K43" t="n">
        <x:v>2691.8</x:v>
      </x:c>
      <x:c r="L43" t="n">
        <x:f>IFERROR(DATEVALUE(D43)-DATEVALUE(B43),"")</x:f>
        <x:v>3</x:v>
      </x:c>
      <x:c r="M43" t="n">
        <x:f>IFERROR(IF(AND(DATEVALUE(D43)&lt;=DATEVALUE(C43),I43=0),1,0),0)</x:f>
        <x:v>1</x:v>
      </x:c>
    </x:row>
    <x:row r="44">
      <x:c r="A44" t="str">
        <x:v>SO0000043</x:v>
      </x:c>
      <x:c r="B44" t="str">
        <x:v>2026-03-06</x:v>
      </x:c>
      <x:c r="C44" t="str">
        <x:v>2026-03-12</x:v>
      </x:c>
      <x:c r="D44" t="str">
        <x:v>2026-03-08</x:v>
      </x:c>
      <x:c r="E44" t="str">
        <x:v>Wellington</x:v>
      </x:c>
      <x:c r="F44" t="str">
        <x:v>Delivered</x:v>
      </x:c>
      <x:c r="G44" t="n">
        <x:v>35</x:v>
      </x:c>
      <x:c r="H44" t="n">
        <x:v>35</x:v>
      </x:c>
      <x:c r="I44" t="n">
        <x:v>0</x:v>
      </x:c>
      <x:c r="J44" t="n">
        <x:v>6038.7</x:v>
      </x:c>
      <x:c r="K44" t="n">
        <x:v>4311.7</x:v>
      </x:c>
      <x:c r="L44" t="n">
        <x:f>IFERROR(DATEVALUE(D44)-DATEVALUE(B44),"")</x:f>
        <x:v>2</x:v>
      </x:c>
      <x:c r="M44" t="n">
        <x:f>IFERROR(IF(AND(DATEVALUE(D44)&lt;=DATEVALUE(C44),I44=0),1,0),0)</x:f>
        <x:v>1</x:v>
      </x:c>
    </x:row>
    <x:row r="45">
      <x:c r="A45" t="str">
        <x:v>SO0000044</x:v>
      </x:c>
      <x:c r="B45" t="str">
        <x:v>2025-01-25</x:v>
      </x:c>
      <x:c r="C45" t="str">
        <x:v>2025-02-04</x:v>
      </x:c>
      <x:c r="D45" t="str">
        <x:v>2025-01-28</x:v>
      </x:c>
      <x:c r="E45" t="str">
        <x:v>Auckland</x:v>
      </x:c>
      <x:c r="F45" t="str">
        <x:v>Delivered</x:v>
      </x:c>
      <x:c r="G45" t="n">
        <x:v>3</x:v>
      </x:c>
      <x:c r="H45" t="n">
        <x:v>3</x:v>
      </x:c>
      <x:c r="I45" t="n">
        <x:v>0</x:v>
      </x:c>
      <x:c r="J45" t="n">
        <x:v>546.54</x:v>
      </x:c>
      <x:c r="K45" t="n">
        <x:v>415.41</x:v>
      </x:c>
      <x:c r="L45" t="n">
        <x:f>IFERROR(DATEVALUE(D45)-DATEVALUE(B45),"")</x:f>
        <x:v>3</x:v>
      </x:c>
      <x:c r="M45" t="n">
        <x:f>IFERROR(IF(AND(DATEVALUE(D45)&lt;=DATEVALUE(C45),I45=0),1,0),0)</x:f>
        <x:v>1</x:v>
      </x:c>
    </x:row>
    <x:row r="46">
      <x:c r="A46" t="str">
        <x:v>SO0000045</x:v>
      </x:c>
      <x:c r="B46" t="str">
        <x:v>2025-07-31</x:v>
      </x:c>
      <x:c r="C46" t="str">
        <x:v>2025-08-06</x:v>
      </x:c>
      <x:c r="D46" t="str">
        <x:v>2025-08-02</x:v>
      </x:c>
      <x:c r="E46" t="str">
        <x:v>Auckland</x:v>
      </x:c>
      <x:c r="F46" t="str">
        <x:v>Partially Delivered</x:v>
      </x:c>
      <x:c r="G46" t="n">
        <x:v>21</x:v>
      </x:c>
      <x:c r="H46" t="n">
        <x:v>11</x:v>
      </x:c>
      <x:c r="I46" t="n">
        <x:v>10</x:v>
      </x:c>
      <x:c r="J46" t="n">
        <x:v>1883.67</x:v>
      </x:c>
      <x:c r="K46" t="n">
        <x:v>1470.19</x:v>
      </x:c>
      <x:c r="L46" t="n">
        <x:f>IFERROR(DATEVALUE(D46)-DATEVALUE(B46),"")</x:f>
        <x:v>2</x:v>
      </x:c>
      <x:c r="M46" t="n">
        <x:f>IFERROR(IF(AND(DATEVALUE(D46)&lt;=DATEVALUE(C46),I46=0),1,0),0)</x:f>
        <x:v>0</x:v>
      </x:c>
    </x:row>
    <x:row r="47">
      <x:c r="A47" t="str">
        <x:v>SO0000046</x:v>
      </x:c>
      <x:c r="B47" t="str">
        <x:v>2026-08-20</x:v>
      </x:c>
      <x:c r="C47" t="str">
        <x:v>2026-08-29</x:v>
      </x:c>
      <x:c r="D47"/>
      <x:c r="E47" t="str">
        <x:v>Waikato</x:v>
      </x:c>
      <x:c r="F47" t="str">
        <x:v>Open</x:v>
      </x:c>
      <x:c r="G47" t="n">
        <x:v>5</x:v>
      </x:c>
      <x:c r="H47" t="n">
        <x:v>0</x:v>
      </x:c>
      <x:c r="I47" t="n">
        <x:v>5</x:v>
      </x:c>
      <x:c r="J47" t="str">
        <x:v>0.0</x:v>
      </x:c>
      <x:c r="K47" t="str">
        <x:v>0.0</x:v>
      </x:c>
      <x:c r="L47" t="str">
        <x:f>IFERROR(DATEVALUE(D47)-DATEVALUE(B47),"")</x:f>
      </x:c>
      <x:c r="M47" t="n">
        <x:f>IFERROR(IF(AND(DATEVALUE(D47)&lt;=DATEVALUE(C47),I47=0),1,0),0)</x:f>
        <x:v>0</x:v>
      </x:c>
    </x:row>
    <x:row r="48">
      <x:c r="A48" t="str">
        <x:v>SO0000047</x:v>
      </x:c>
      <x:c r="B48" t="str">
        <x:v>2025-04-10</x:v>
      </x:c>
      <x:c r="C48" t="str">
        <x:v>2025-04-15</x:v>
      </x:c>
      <x:c r="D48" t="str">
        <x:v>2025-04-13</x:v>
      </x:c>
      <x:c r="E48" t="str">
        <x:v>Waikato</x:v>
      </x:c>
      <x:c r="F48" t="str">
        <x:v>Delivered</x:v>
      </x:c>
      <x:c r="G48" t="n">
        <x:v>50</x:v>
      </x:c>
      <x:c r="H48" t="n">
        <x:v>50</x:v>
      </x:c>
      <x:c r="I48" t="n">
        <x:v>0</x:v>
      </x:c>
      <x:c r="J48" t="n">
        <x:v>9055.9</x:v>
      </x:c>
      <x:c r="K48" t="n">
        <x:v>6470</x:v>
      </x:c>
      <x:c r="L48" t="n">
        <x:f>IFERROR(DATEVALUE(D48)-DATEVALUE(B48),"")</x:f>
        <x:v>3</x:v>
      </x:c>
      <x:c r="M48" t="n">
        <x:f>IFERROR(IF(AND(DATEVALUE(D48)&lt;=DATEVALUE(C48),I48=0),1,0),0)</x:f>
        <x:v>1</x:v>
      </x:c>
    </x:row>
    <x:row r="49">
      <x:c r="A49" t="str">
        <x:v>SO0000048</x:v>
      </x:c>
      <x:c r="B49" t="str">
        <x:v>2026-03-19</x:v>
      </x:c>
      <x:c r="C49" t="str">
        <x:v>2026-03-25</x:v>
      </x:c>
      <x:c r="D49" t="str">
        <x:v>2026-03-29</x:v>
      </x:c>
      <x:c r="E49" t="str">
        <x:v>Canterbury</x:v>
      </x:c>
      <x:c r="F49" t="str">
        <x:v>Delivered</x:v>
      </x:c>
      <x:c r="G49" t="n">
        <x:v>19</x:v>
      </x:c>
      <x:c r="H49" t="n">
        <x:v>19</x:v>
      </x:c>
      <x:c r="I49" t="n">
        <x:v>0</x:v>
      </x:c>
      <x:c r="J49" t="n">
        <x:v>582.42</x:v>
      </x:c>
      <x:c r="K49" t="n">
        <x:v>462.66</x:v>
      </x:c>
      <x:c r="L49" t="n">
        <x:f>IFERROR(DATEVALUE(D49)-DATEVALUE(B49),"")</x:f>
        <x:v>10</x:v>
      </x:c>
      <x:c r="M49" t="n">
        <x:f>IFERROR(IF(AND(DATEVALUE(D49)&lt;=DATEVALUE(C49),I49=0),1,0),0)</x:f>
        <x:v>0</x:v>
      </x:c>
    </x:row>
    <x:row r="50">
      <x:c r="A50" t="str">
        <x:v>SO0000049</x:v>
      </x:c>
      <x:c r="B50" t="str">
        <x:v>2025-07-29</x:v>
      </x:c>
      <x:c r="C50" t="str">
        <x:v>2025-08-03</x:v>
      </x:c>
      <x:c r="D50" t="str">
        <x:v>2025-08-03</x:v>
      </x:c>
      <x:c r="E50" t="str">
        <x:v>Wellington</x:v>
      </x:c>
      <x:c r="F50" t="str">
        <x:v>Delivered</x:v>
      </x:c>
      <x:c r="G50" t="n">
        <x:v>30</x:v>
      </x:c>
      <x:c r="H50" t="n">
        <x:v>30</x:v>
      </x:c>
      <x:c r="I50" t="n">
        <x:v>0</x:v>
      </x:c>
      <x:c r="J50" t="n">
        <x:v>3772.9</x:v>
      </x:c>
      <x:c r="K50" t="n">
        <x:v>2838.05</x:v>
      </x:c>
      <x:c r="L50" t="n">
        <x:f>IFERROR(DATEVALUE(D50)-DATEVALUE(B50),"")</x:f>
        <x:v>5</x:v>
      </x:c>
      <x:c r="M50" t="n">
        <x:f>IFERROR(IF(AND(DATEVALUE(D50)&lt;=DATEVALUE(C50),I50=0),1,0),0)</x:f>
        <x:v>1</x:v>
      </x:c>
    </x:row>
    <x:row r="51">
      <x:c r="A51" t="str">
        <x:v>SO0000050</x:v>
      </x:c>
      <x:c r="B51" t="str">
        <x:v>2025-10-09</x:v>
      </x:c>
      <x:c r="C51" t="str">
        <x:v>2025-10-15</x:v>
      </x:c>
      <x:c r="D51" t="str">
        <x:v>2025-10-13</x:v>
      </x:c>
      <x:c r="E51" t="str">
        <x:v>Wellington</x:v>
      </x:c>
      <x:c r="F51" t="str">
        <x:v>Delivered</x:v>
      </x:c>
      <x:c r="G51" t="n">
        <x:v>5</x:v>
      </x:c>
      <x:c r="H51" t="n">
        <x:v>5</x:v>
      </x:c>
      <x:c r="I51" t="n">
        <x:v>0</x:v>
      </x:c>
      <x:c r="J51" t="n">
        <x:v>85.15</x:v>
      </x:c>
      <x:c r="K51" t="n">
        <x:v>67.85</x:v>
      </x:c>
      <x:c r="L51" t="n">
        <x:f>IFERROR(DATEVALUE(D51)-DATEVALUE(B51),"")</x:f>
        <x:v>4</x:v>
      </x:c>
      <x:c r="M51" t="n">
        <x:f>IFERROR(IF(AND(DATEVALUE(D51)&lt;=DATEVALUE(C51),I51=0),1,0),0)</x:f>
        <x:v>1</x:v>
      </x:c>
    </x:row>
    <x:row r="52">
      <x:c r="A52" t="str">
        <x:v>SO0000051</x:v>
      </x:c>
      <x:c r="B52" t="str">
        <x:v>2024-10-07</x:v>
      </x:c>
      <x:c r="C52" t="str">
        <x:v>2024-10-13</x:v>
      </x:c>
      <x:c r="D52" t="str">
        <x:v>2024-10-14</x:v>
      </x:c>
      <x:c r="E52" t="str">
        <x:v>Canterbury</x:v>
      </x:c>
      <x:c r="F52" t="str">
        <x:v>Delivered</x:v>
      </x:c>
      <x:c r="G52" t="n">
        <x:v>30</x:v>
      </x:c>
      <x:c r="H52" t="n">
        <x:v>30</x:v>
      </x:c>
      <x:c r="I52" t="n">
        <x:v>0</x:v>
      </x:c>
      <x:c r="J52" t="n">
        <x:v>2553.6</x:v>
      </x:c>
      <x:c r="K52" t="n">
        <x:v>1930</x:v>
      </x:c>
      <x:c r="L52" t="n">
        <x:f>IFERROR(DATEVALUE(D52)-DATEVALUE(B52),"")</x:f>
        <x:v>7</x:v>
      </x:c>
      <x:c r="M52" t="n">
        <x:f>IFERROR(IF(AND(DATEVALUE(D52)&lt;=DATEVALUE(C52),I52=0),1,0),0)</x:f>
        <x:v>0</x:v>
      </x:c>
    </x:row>
    <x:row r="53">
      <x:c r="A53" t="str">
        <x:v>SO0000052</x:v>
      </x:c>
      <x:c r="B53" t="str">
        <x:v>2025-05-05</x:v>
      </x:c>
      <x:c r="C53" t="str">
        <x:v>2025-05-16</x:v>
      </x:c>
      <x:c r="D53" t="str">
        <x:v>2025-05-09</x:v>
      </x:c>
      <x:c r="E53" t="str">
        <x:v>Bay of Plenty</x:v>
      </x:c>
      <x:c r="F53" t="str">
        <x:v>Delivered</x:v>
      </x:c>
      <x:c r="G53" t="n">
        <x:v>8</x:v>
      </x:c>
      <x:c r="H53" t="n">
        <x:v>8</x:v>
      </x:c>
      <x:c r="I53" t="n">
        <x:v>0</x:v>
      </x:c>
      <x:c r="J53" t="n">
        <x:v>788.08</x:v>
      </x:c>
      <x:c r="K53" t="n">
        <x:v>556.8</x:v>
      </x:c>
      <x:c r="L53" t="n">
        <x:f>IFERROR(DATEVALUE(D53)-DATEVALUE(B53),"")</x:f>
        <x:v>4</x:v>
      </x:c>
      <x:c r="M53" t="n">
        <x:f>IFERROR(IF(AND(DATEVALUE(D53)&lt;=DATEVALUE(C53),I53=0),1,0),0)</x:f>
        <x:v>1</x:v>
      </x:c>
    </x:row>
    <x:row r="54">
      <x:c r="A54" t="str">
        <x:v>SO0000053</x:v>
      </x:c>
      <x:c r="B54" t="str">
        <x:v>2026-01-28</x:v>
      </x:c>
      <x:c r="C54" t="str">
        <x:v>2026-02-08</x:v>
      </x:c>
      <x:c r="D54" t="str">
        <x:v>2026-01-31</x:v>
      </x:c>
      <x:c r="E54" t="str">
        <x:v>Waikato</x:v>
      </x:c>
      <x:c r="F54" t="str">
        <x:v>Delivered</x:v>
      </x:c>
      <x:c r="G54" t="n">
        <x:v>35</x:v>
      </x:c>
      <x:c r="H54" t="n">
        <x:v>35</x:v>
      </x:c>
      <x:c r="I54" t="n">
        <x:v>0</x:v>
      </x:c>
      <x:c r="J54" t="n">
        <x:v>5087.2</x:v>
      </x:c>
      <x:c r="K54" t="n">
        <x:v>4001.6</x:v>
      </x:c>
      <x:c r="L54" t="n">
        <x:f>IFERROR(DATEVALUE(D54)-DATEVALUE(B54),"")</x:f>
        <x:v>3</x:v>
      </x:c>
      <x:c r="M54" t="n">
        <x:f>IFERROR(IF(AND(DATEVALUE(D54)&lt;=DATEVALUE(C54),I54=0),1,0),0)</x:f>
        <x:v>1</x:v>
      </x:c>
    </x:row>
    <x:row r="55">
      <x:c r="A55" t="str">
        <x:v>SO0000054</x:v>
      </x:c>
      <x:c r="B55" t="str">
        <x:v>2026-08-25</x:v>
      </x:c>
      <x:c r="C55" t="str">
        <x:v>2026-08-30</x:v>
      </x:c>
      <x:c r="D55" t="str">
        <x:v>2026-08-28</x:v>
      </x:c>
      <x:c r="E55" t="str">
        <x:v>Auckland</x:v>
      </x:c>
      <x:c r="F55" t="str">
        <x:v>Partially Delivered</x:v>
      </x:c>
      <x:c r="G55" t="n">
        <x:v>35</x:v>
      </x:c>
      <x:c r="H55" t="n">
        <x:v>23</x:v>
      </x:c>
      <x:c r="I55" t="n">
        <x:v>12</x:v>
      </x:c>
      <x:c r="J55" t="n">
        <x:v>2563.02</x:v>
      </x:c>
      <x:c r="K55" t="n">
        <x:v>1745.99</x:v>
      </x:c>
      <x:c r="L55" t="n">
        <x:f>IFERROR(DATEVALUE(D55)-DATEVALUE(B55),"")</x:f>
        <x:v>3</x:v>
      </x:c>
      <x:c r="M55" t="n">
        <x:f>IFERROR(IF(AND(DATEVALUE(D55)&lt;=DATEVALUE(C55),I55=0),1,0),0)</x:f>
        <x:v>0</x:v>
      </x:c>
    </x:row>
    <x:row r="56">
      <x:c r="A56" t="str">
        <x:v>SO0000055</x:v>
      </x:c>
      <x:c r="B56" t="str">
        <x:v>2026-01-13</x:v>
      </x:c>
      <x:c r="C56" t="str">
        <x:v>2026-01-21</x:v>
      </x:c>
      <x:c r="D56" t="str">
        <x:v>2026-01-19</x:v>
      </x:c>
      <x:c r="E56" t="str">
        <x:v>Bay of Plenty</x:v>
      </x:c>
      <x:c r="F56" t="str">
        <x:v>Delivered</x:v>
      </x:c>
      <x:c r="G56" t="n">
        <x:v>25</x:v>
      </x:c>
      <x:c r="H56" t="n">
        <x:v>25</x:v>
      </x:c>
      <x:c r="I56" t="n">
        <x:v>0</x:v>
      </x:c>
      <x:c r="J56" t="n">
        <x:v>3571.6</x:v>
      </x:c>
      <x:c r="K56" t="n">
        <x:v>2618.8</x:v>
      </x:c>
      <x:c r="L56" t="n">
        <x:f>IFERROR(DATEVALUE(D56)-DATEVALUE(B56),"")</x:f>
        <x:v>6</x:v>
      </x:c>
      <x:c r="M56" t="n">
        <x:f>IFERROR(IF(AND(DATEVALUE(D56)&lt;=DATEVALUE(C56),I56=0),1,0),0)</x:f>
        <x:v>1</x:v>
      </x:c>
    </x:row>
    <x:row r="57">
      <x:c r="A57" t="str">
        <x:v>SO0000056</x:v>
      </x:c>
      <x:c r="B57" t="str">
        <x:v>2025-07-22</x:v>
      </x:c>
      <x:c r="C57" t="str">
        <x:v>2025-07-28</x:v>
      </x:c>
      <x:c r="D57" t="str">
        <x:v>2025-07-27</x:v>
      </x:c>
      <x:c r="E57" t="str">
        <x:v>Auckland</x:v>
      </x:c>
      <x:c r="F57" t="str">
        <x:v>Delivered</x:v>
      </x:c>
      <x:c r="G57" t="n">
        <x:v>5</x:v>
      </x:c>
      <x:c r="H57" t="n">
        <x:v>5</x:v>
      </x:c>
      <x:c r="I57" t="n">
        <x:v>0</x:v>
      </x:c>
      <x:c r="J57" t="n">
        <x:v>490.7</x:v>
      </x:c>
      <x:c r="K57" t="n">
        <x:v>348.9</x:v>
      </x:c>
      <x:c r="L57" t="n">
        <x:f>IFERROR(DATEVALUE(D57)-DATEVALUE(B57),"")</x:f>
        <x:v>5</x:v>
      </x:c>
      <x:c r="M57" t="n">
        <x:f>IFERROR(IF(AND(DATEVALUE(D57)&lt;=DATEVALUE(C57),I57=0),1,0),0)</x:f>
        <x:v>1</x:v>
      </x:c>
    </x:row>
    <x:row r="58">
      <x:c r="A58" t="str">
        <x:v>SO0000057</x:v>
      </x:c>
      <x:c r="B58" t="str">
        <x:v>2025-12-08</x:v>
      </x:c>
      <x:c r="C58" t="str">
        <x:v>2025-12-14</x:v>
      </x:c>
      <x:c r="D58" t="str">
        <x:v>2025-12-13</x:v>
      </x:c>
      <x:c r="E58" t="str">
        <x:v>Wellington</x:v>
      </x:c>
      <x:c r="F58" t="str">
        <x:v>Delivered</x:v>
      </x:c>
      <x:c r="G58" t="n">
        <x:v>45</x:v>
      </x:c>
      <x:c r="H58" t="n">
        <x:v>45</x:v>
      </x:c>
      <x:c r="I58" t="n">
        <x:v>0</x:v>
      </x:c>
      <x:c r="J58" t="n">
        <x:v>3810.15</x:v>
      </x:c>
      <x:c r="K58" t="n">
        <x:v>2784.4</x:v>
      </x:c>
      <x:c r="L58" t="n">
        <x:f>IFERROR(DATEVALUE(D58)-DATEVALUE(B58),"")</x:f>
        <x:v>5</x:v>
      </x:c>
      <x:c r="M58" t="n">
        <x:f>IFERROR(IF(AND(DATEVALUE(D58)&lt;=DATEVALUE(C58),I58=0),1,0),0)</x:f>
        <x:v>1</x:v>
      </x:c>
    </x:row>
    <x:row r="59">
      <x:c r="A59" t="str">
        <x:v>SO0000058</x:v>
      </x:c>
      <x:c r="B59" t="str">
        <x:v>2024-11-28</x:v>
      </x:c>
      <x:c r="C59" t="str">
        <x:v>2024-12-05</x:v>
      </x:c>
      <x:c r="D59" t="str">
        <x:v>2024-12-04</x:v>
      </x:c>
      <x:c r="E59" t="str">
        <x:v>Waikato</x:v>
      </x:c>
      <x:c r="F59" t="str">
        <x:v>Partially Delivered</x:v>
      </x:c>
      <x:c r="G59" t="n">
        <x:v>30</x:v>
      </x:c>
      <x:c r="H59" t="n">
        <x:v>25</x:v>
      </x:c>
      <x:c r="I59" t="n">
        <x:v>5</x:v>
      </x:c>
      <x:c r="J59" t="n">
        <x:v>2666.15</x:v>
      </x:c>
      <x:c r="K59" t="n">
        <x:v>1862.05</x:v>
      </x:c>
      <x:c r="L59" t="n">
        <x:f>IFERROR(DATEVALUE(D59)-DATEVALUE(B59),"")</x:f>
        <x:v>6</x:v>
      </x:c>
      <x:c r="M59" t="n">
        <x:f>IFERROR(IF(AND(DATEVALUE(D59)&lt;=DATEVALUE(C59),I59=0),1,0),0)</x:f>
        <x:v>0</x:v>
      </x:c>
    </x:row>
    <x:row r="60">
      <x:c r="A60" t="str">
        <x:v>SO0000059</x:v>
      </x:c>
      <x:c r="B60" t="str">
        <x:v>2025-09-09</x:v>
      </x:c>
      <x:c r="C60" t="str">
        <x:v>2025-09-16</x:v>
      </x:c>
      <x:c r="D60" t="str">
        <x:v>2025-09-17</x:v>
      </x:c>
      <x:c r="E60" t="str">
        <x:v>Wellington</x:v>
      </x:c>
      <x:c r="F60" t="str">
        <x:v>Partially Delivered</x:v>
      </x:c>
      <x:c r="G60" t="n">
        <x:v>23</x:v>
      </x:c>
      <x:c r="H60" t="n">
        <x:v>5</x:v>
      </x:c>
      <x:c r="I60" t="n">
        <x:v>18</x:v>
      </x:c>
      <x:c r="J60" t="n">
        <x:v>215.65</x:v>
      </x:c>
      <x:c r="K60" t="n">
        <x:v>139.95</x:v>
      </x:c>
      <x:c r="L60" t="n">
        <x:f>IFERROR(DATEVALUE(D60)-DATEVALUE(B60),"")</x:f>
        <x:v>8</x:v>
      </x:c>
      <x:c r="M60" t="n">
        <x:f>IFERROR(IF(AND(DATEVALUE(D60)&lt;=DATEVALUE(C60),I60=0),1,0),0)</x:f>
        <x:v>0</x:v>
      </x:c>
    </x:row>
    <x:row r="61">
      <x:c r="A61" t="str">
        <x:v>SO0000060</x:v>
      </x:c>
      <x:c r="B61" t="str">
        <x:v>2026-04-09</x:v>
      </x:c>
      <x:c r="C61" t="str">
        <x:v>2026-04-19</x:v>
      </x:c>
      <x:c r="D61" t="str">
        <x:v>2026-04-16</x:v>
      </x:c>
      <x:c r="E61" t="str">
        <x:v>Auckland</x:v>
      </x:c>
      <x:c r="F61" t="str">
        <x:v>Delivered</x:v>
      </x:c>
      <x:c r="G61" t="n">
        <x:v>15</x:v>
      </x:c>
      <x:c r="H61" t="n">
        <x:v>15</x:v>
      </x:c>
      <x:c r="I61" t="n">
        <x:v>0</x:v>
      </x:c>
      <x:c r="J61" t="n">
        <x:v>509.85</x:v>
      </x:c>
      <x:c r="K61" t="n">
        <x:v>388.95</x:v>
      </x:c>
      <x:c r="L61" t="n">
        <x:f>IFERROR(DATEVALUE(D61)-DATEVALUE(B61),"")</x:f>
        <x:v>7</x:v>
      </x:c>
      <x:c r="M61" t="n">
        <x:f>IFERROR(IF(AND(DATEVALUE(D61)&lt;=DATEVALUE(C61),I61=0),1,0),0)</x:f>
        <x:v>1</x:v>
      </x:c>
    </x:row>
    <x:row r="62">
      <x:c r="A62" t="str">
        <x:v>SO0000061</x:v>
      </x:c>
      <x:c r="B62" t="str">
        <x:v>2025-07-07</x:v>
      </x:c>
      <x:c r="C62" t="str">
        <x:v>2025-07-15</x:v>
      </x:c>
      <x:c r="D62" t="str">
        <x:v>2025-07-12</x:v>
      </x:c>
      <x:c r="E62" t="str">
        <x:v>Canterbury</x:v>
      </x:c>
      <x:c r="F62" t="str">
        <x:v>Delivered</x:v>
      </x:c>
      <x:c r="G62" t="n">
        <x:v>39</x:v>
      </x:c>
      <x:c r="H62" t="n">
        <x:v>39</x:v>
      </x:c>
      <x:c r="I62" t="n">
        <x:v>0</x:v>
      </x:c>
      <x:c r="J62" t="n">
        <x:v>5864.04</x:v>
      </x:c>
      <x:c r="K62" t="n">
        <x:v>4528.29</x:v>
      </x:c>
      <x:c r="L62" t="n">
        <x:f>IFERROR(DATEVALUE(D62)-DATEVALUE(B62),"")</x:f>
        <x:v>5</x:v>
      </x:c>
      <x:c r="M62" t="n">
        <x:f>IFERROR(IF(AND(DATEVALUE(D62)&lt;=DATEVALUE(C62),I62=0),1,0),0)</x:f>
        <x:v>1</x:v>
      </x:c>
    </x:row>
    <x:row r="63">
      <x:c r="A63" t="str">
        <x:v>SO0000062</x:v>
      </x:c>
      <x:c r="B63" t="str">
        <x:v>2025-01-13</x:v>
      </x:c>
      <x:c r="C63" t="str">
        <x:v>2025-01-24</x:v>
      </x:c>
      <x:c r="D63" t="str">
        <x:v>2025-01-20</x:v>
      </x:c>
      <x:c r="E63" t="str">
        <x:v>Waikato</x:v>
      </x:c>
      <x:c r="F63" t="str">
        <x:v>Partially Delivered</x:v>
      </x:c>
      <x:c r="G63" t="n">
        <x:v>18</x:v>
      </x:c>
      <x:c r="H63" t="n">
        <x:v>8</x:v>
      </x:c>
      <x:c r="I63" t="n">
        <x:v>10</x:v>
      </x:c>
      <x:c r="J63" t="n">
        <x:v>1299.55</x:v>
      </x:c>
      <x:c r="K63" t="n">
        <x:v>1020.64</x:v>
      </x:c>
      <x:c r="L63" t="n">
        <x:f>IFERROR(DATEVALUE(D63)-DATEVALUE(B63),"")</x:f>
        <x:v>7</x:v>
      </x:c>
      <x:c r="M63" t="n">
        <x:f>IFERROR(IF(AND(DATEVALUE(D63)&lt;=DATEVALUE(C63),I63=0),1,0),0)</x:f>
        <x:v>0</x:v>
      </x:c>
    </x:row>
    <x:row r="64">
      <x:c r="A64" t="str">
        <x:v>SO0000063</x:v>
      </x:c>
      <x:c r="B64" t="str">
        <x:v>2026-09-18</x:v>
      </x:c>
      <x:c r="C64" t="str">
        <x:v>2026-09-24</x:v>
      </x:c>
      <x:c r="D64" t="str">
        <x:v>2026-09-25</x:v>
      </x:c>
      <x:c r="E64" t="str">
        <x:v>Wellington</x:v>
      </x:c>
      <x:c r="F64" t="str">
        <x:v>Partially Delivered</x:v>
      </x:c>
      <x:c r="G64" t="n">
        <x:v>30</x:v>
      </x:c>
      <x:c r="H64" t="n">
        <x:v>18</x:v>
      </x:c>
      <x:c r="I64" t="n">
        <x:v>12</x:v>
      </x:c>
      <x:c r="J64" t="n">
        <x:v>484.89</x:v>
      </x:c>
      <x:c r="K64" t="n">
        <x:v>364.98</x:v>
      </x:c>
      <x:c r="L64" t="n">
        <x:f>IFERROR(DATEVALUE(D64)-DATEVALUE(B64),"")</x:f>
        <x:v>7</x:v>
      </x:c>
      <x:c r="M64" t="n">
        <x:f>IFERROR(IF(AND(DATEVALUE(D64)&lt;=DATEVALUE(C64),I64=0),1,0),0)</x:f>
        <x:v>0</x:v>
      </x:c>
    </x:row>
    <x:row r="65">
      <x:c r="A65" t="str">
        <x:v>SO0000064</x:v>
      </x:c>
      <x:c r="B65" t="str">
        <x:v>2026-06-25</x:v>
      </x:c>
      <x:c r="C65" t="str">
        <x:v>2026-07-02</x:v>
      </x:c>
      <x:c r="D65" t="str">
        <x:v>2026-07-01</x:v>
      </x:c>
      <x:c r="E65" t="str">
        <x:v>Auckland</x:v>
      </x:c>
      <x:c r="F65" t="str">
        <x:v>Delivered</x:v>
      </x:c>
      <x:c r="G65" t="n">
        <x:v>56</x:v>
      </x:c>
      <x:c r="H65" t="n">
        <x:v>56</x:v>
      </x:c>
      <x:c r="I65" t="n">
        <x:v>0</x:v>
      </x:c>
      <x:c r="J65" t="n">
        <x:v>7873.4</x:v>
      </x:c>
      <x:c r="K65" t="n">
        <x:v>5931.6</x:v>
      </x:c>
      <x:c r="L65" t="n">
        <x:f>IFERROR(DATEVALUE(D65)-DATEVALUE(B65),"")</x:f>
        <x:v>6</x:v>
      </x:c>
      <x:c r="M65" t="n">
        <x:f>IFERROR(IF(AND(DATEVALUE(D65)&lt;=DATEVALUE(C65),I65=0),1,0),0)</x:f>
        <x:v>1</x:v>
      </x:c>
    </x:row>
    <x:row r="66">
      <x:c r="A66" t="str">
        <x:v>SO0000065</x:v>
      </x:c>
      <x:c r="B66" t="str">
        <x:v>2026-05-14</x:v>
      </x:c>
      <x:c r="C66" t="str">
        <x:v>2026-05-22</x:v>
      </x:c>
      <x:c r="D66" t="str">
        <x:v>2026-05-17</x:v>
      </x:c>
      <x:c r="E66" t="str">
        <x:v>Canterbury</x:v>
      </x:c>
      <x:c r="F66" t="str">
        <x:v>Delivered</x:v>
      </x:c>
      <x:c r="G66" t="n">
        <x:v>60</x:v>
      </x:c>
      <x:c r="H66" t="n">
        <x:v>60</x:v>
      </x:c>
      <x:c r="I66" t="n">
        <x:v>0</x:v>
      </x:c>
      <x:c r="J66" t="n">
        <x:v>6800.1</x:v>
      </x:c>
      <x:c r="K66" t="n">
        <x:v>5043.9</x:v>
      </x:c>
      <x:c r="L66" t="n">
        <x:f>IFERROR(DATEVALUE(D66)-DATEVALUE(B66),"")</x:f>
        <x:v>3</x:v>
      </x:c>
      <x:c r="M66" t="n">
        <x:f>IFERROR(IF(AND(DATEVALUE(D66)&lt;=DATEVALUE(C66),I66=0),1,0),0)</x:f>
        <x:v>1</x:v>
      </x:c>
    </x:row>
    <x:row r="67">
      <x:c r="A67" t="str">
        <x:v>SO0000066</x:v>
      </x:c>
      <x:c r="B67" t="str">
        <x:v>2026-07-17</x:v>
      </x:c>
      <x:c r="C67" t="str">
        <x:v>2026-07-23</x:v>
      </x:c>
      <x:c r="D67" t="str">
        <x:v>2026-07-23</x:v>
      </x:c>
      <x:c r="E67" t="str">
        <x:v>Auckland</x:v>
      </x:c>
      <x:c r="F67" t="str">
        <x:v>Delivered</x:v>
      </x:c>
      <x:c r="G67" t="n">
        <x:v>20</x:v>
      </x:c>
      <x:c r="H67" t="n">
        <x:v>20</x:v>
      </x:c>
      <x:c r="I67" t="n">
        <x:v>0</x:v>
      </x:c>
      <x:c r="J67" t="n">
        <x:v>2368.2</x:v>
      </x:c>
      <x:c r="K67" t="n">
        <x:v>1644.2</x:v>
      </x:c>
      <x:c r="L67" t="n">
        <x:f>IFERROR(DATEVALUE(D67)-DATEVALUE(B67),"")</x:f>
        <x:v>6</x:v>
      </x:c>
      <x:c r="M67" t="n">
        <x:f>IFERROR(IF(AND(DATEVALUE(D67)&lt;=DATEVALUE(C67),I67=0),1,0),0)</x:f>
        <x:v>1</x:v>
      </x:c>
    </x:row>
    <x:row r="68">
      <x:c r="A68" t="str">
        <x:v>SO0000067</x:v>
      </x:c>
      <x:c r="B68" t="str">
        <x:v>2026-04-23</x:v>
      </x:c>
      <x:c r="C68" t="str">
        <x:v>2026-05-01</x:v>
      </x:c>
      <x:c r="D68" t="str">
        <x:v>2026-04-27</x:v>
      </x:c>
      <x:c r="E68" t="str">
        <x:v>Auckland</x:v>
      </x:c>
      <x:c r="F68" t="str">
        <x:v>Delivered</x:v>
      </x:c>
      <x:c r="G68" t="n">
        <x:v>16</x:v>
      </x:c>
      <x:c r="H68" t="n">
        <x:v>16</x:v>
      </x:c>
      <x:c r="I68" t="n">
        <x:v>0</x:v>
      </x:c>
      <x:c r="J68" t="n">
        <x:v>2791.92</x:v>
      </x:c>
      <x:c r="K68" t="n">
        <x:v>2077.2</x:v>
      </x:c>
      <x:c r="L68" t="n">
        <x:f>IFERROR(DATEVALUE(D68)-DATEVALUE(B68),"")</x:f>
        <x:v>4</x:v>
      </x:c>
      <x:c r="M68" t="n">
        <x:f>IFERROR(IF(AND(DATEVALUE(D68)&lt;=DATEVALUE(C68),I68=0),1,0),0)</x:f>
        <x:v>1</x:v>
      </x:c>
    </x:row>
    <x:row r="69">
      <x:c r="A69" t="str">
        <x:v>SO0000068</x:v>
      </x:c>
      <x:c r="B69" t="str">
        <x:v>2025-05-28</x:v>
      </x:c>
      <x:c r="C69" t="str">
        <x:v>2025-06-03</x:v>
      </x:c>
      <x:c r="D69" t="str">
        <x:v>2025-06-01</x:v>
      </x:c>
      <x:c r="E69" t="str">
        <x:v>Wellington</x:v>
      </x:c>
      <x:c r="F69" t="str">
        <x:v>Delivered</x:v>
      </x:c>
      <x:c r="G69" t="n">
        <x:v>65</x:v>
      </x:c>
      <x:c r="H69" t="n">
        <x:v>65</x:v>
      </x:c>
      <x:c r="I69" t="n">
        <x:v>0</x:v>
      </x:c>
      <x:c r="J69" t="n">
        <x:v>1001.65</x:v>
      </x:c>
      <x:c r="K69" t="n">
        <x:v>705.65</x:v>
      </x:c>
      <x:c r="L69" t="n">
        <x:f>IFERROR(DATEVALUE(D69)-DATEVALUE(B69),"")</x:f>
        <x:v>4</x:v>
      </x:c>
      <x:c r="M69" t="n">
        <x:f>IFERROR(IF(AND(DATEVALUE(D69)&lt;=DATEVALUE(C69),I69=0),1,0),0)</x:f>
        <x:v>1</x:v>
      </x:c>
    </x:row>
    <x:row r="70">
      <x:c r="A70" t="str">
        <x:v>SO0000069</x:v>
      </x:c>
      <x:c r="B70" t="str">
        <x:v>2025-01-06</x:v>
      </x:c>
      <x:c r="C70" t="str">
        <x:v>2025-01-14</x:v>
      </x:c>
      <x:c r="D70" t="str">
        <x:v>2025-01-10</x:v>
      </x:c>
      <x:c r="E70" t="str">
        <x:v>Waikato</x:v>
      </x:c>
      <x:c r="F70" t="str">
        <x:v>Delivered</x:v>
      </x:c>
      <x:c r="G70" t="n">
        <x:v>15</x:v>
      </x:c>
      <x:c r="H70" t="n">
        <x:v>15</x:v>
      </x:c>
      <x:c r="I70" t="n">
        <x:v>0</x:v>
      </x:c>
      <x:c r="J70" t="n">
        <x:v>1580.35</x:v>
      </x:c>
      <x:c r="K70" t="n">
        <x:v>1223.2</x:v>
      </x:c>
      <x:c r="L70" t="n">
        <x:f>IFERROR(DATEVALUE(D70)-DATEVALUE(B70),"")</x:f>
        <x:v>4</x:v>
      </x:c>
      <x:c r="M70" t="n">
        <x:f>IFERROR(IF(AND(DATEVALUE(D70)&lt;=DATEVALUE(C70),I70=0),1,0),0)</x:f>
        <x:v>1</x:v>
      </x:c>
    </x:row>
    <x:row r="71">
      <x:c r="A71" t="str">
        <x:v>SO0000070</x:v>
      </x:c>
      <x:c r="B71" t="str">
        <x:v>2025-11-26</x:v>
      </x:c>
      <x:c r="C71" t="str">
        <x:v>2025-12-07</x:v>
      </x:c>
      <x:c r="D71" t="str">
        <x:v>2025-12-01</x:v>
      </x:c>
      <x:c r="E71" t="str">
        <x:v>Auckland</x:v>
      </x:c>
      <x:c r="F71" t="str">
        <x:v>Delivered</x:v>
      </x:c>
      <x:c r="G71" t="n">
        <x:v>110</x:v>
      </x:c>
      <x:c r="H71" t="n">
        <x:v>110</x:v>
      </x:c>
      <x:c r="I71" t="n">
        <x:v>0</x:v>
      </x:c>
      <x:c r="J71" t="n">
        <x:v>12250.1</x:v>
      </x:c>
      <x:c r="K71" t="n">
        <x:v>10030.9</x:v>
      </x:c>
      <x:c r="L71" t="n">
        <x:f>IFERROR(DATEVALUE(D71)-DATEVALUE(B71),"")</x:f>
        <x:v>5</x:v>
      </x:c>
      <x:c r="M71" t="n">
        <x:f>IFERROR(IF(AND(DATEVALUE(D71)&lt;=DATEVALUE(C71),I71=0),1,0),0)</x:f>
        <x:v>1</x:v>
      </x:c>
    </x:row>
    <x:row r="72">
      <x:c r="A72" t="str">
        <x:v>SO0000071</x:v>
      </x:c>
      <x:c r="B72" t="str">
        <x:v>2026-04-24</x:v>
      </x:c>
      <x:c r="C72" t="str">
        <x:v>2026-05-03</x:v>
      </x:c>
      <x:c r="D72" t="str">
        <x:v>2026-04-26</x:v>
      </x:c>
      <x:c r="E72" t="str">
        <x:v>Auckland</x:v>
      </x:c>
      <x:c r="F72" t="str">
        <x:v>Delivered</x:v>
      </x:c>
      <x:c r="G72" t="n">
        <x:v>35</x:v>
      </x:c>
      <x:c r="H72" t="n">
        <x:v>35</x:v>
      </x:c>
      <x:c r="I72" t="n">
        <x:v>0</x:v>
      </x:c>
      <x:c r="J72" t="n">
        <x:v>6122.7</x:v>
      </x:c>
      <x:c r="K72" t="n">
        <x:v>4080.25</x:v>
      </x:c>
      <x:c r="L72" t="n">
        <x:f>IFERROR(DATEVALUE(D72)-DATEVALUE(B72),"")</x:f>
        <x:v>2</x:v>
      </x:c>
      <x:c r="M72" t="n">
        <x:f>IFERROR(IF(AND(DATEVALUE(D72)&lt;=DATEVALUE(C72),I72=0),1,0),0)</x:f>
        <x:v>1</x:v>
      </x:c>
    </x:row>
    <x:row r="73">
      <x:c r="A73" t="str">
        <x:v>SO0000072</x:v>
      </x:c>
      <x:c r="B73" t="str">
        <x:v>2026-03-19</x:v>
      </x:c>
      <x:c r="C73" t="str">
        <x:v>2026-03-29</x:v>
      </x:c>
      <x:c r="D73" t="str">
        <x:v>2026-03-24</x:v>
      </x:c>
      <x:c r="E73" t="str">
        <x:v>Waikato</x:v>
      </x:c>
      <x:c r="F73" t="str">
        <x:v>Delivered</x:v>
      </x:c>
      <x:c r="G73" t="n">
        <x:v>13</x:v>
      </x:c>
      <x:c r="H73" t="n">
        <x:v>13</x:v>
      </x:c>
      <x:c r="I73" t="n">
        <x:v>0</x:v>
      </x:c>
      <x:c r="J73" t="n">
        <x:v>2101.76</x:v>
      </x:c>
      <x:c r="K73" t="n">
        <x:v>1455.4</x:v>
      </x:c>
      <x:c r="L73" t="n">
        <x:f>IFERROR(DATEVALUE(D73)-DATEVALUE(B73),"")</x:f>
        <x:v>5</x:v>
      </x:c>
      <x:c r="M73" t="n">
        <x:f>IFERROR(IF(AND(DATEVALUE(D73)&lt;=DATEVALUE(C73),I73=0),1,0),0)</x:f>
        <x:v>1</x:v>
      </x:c>
    </x:row>
    <x:row r="74">
      <x:c r="A74" t="str">
        <x:v>SO0000073</x:v>
      </x:c>
      <x:c r="B74" t="str">
        <x:v>2025-09-18</x:v>
      </x:c>
      <x:c r="C74" t="str">
        <x:v>2025-09-29</x:v>
      </x:c>
      <x:c r="D74" t="str">
        <x:v>2025-09-23</x:v>
      </x:c>
      <x:c r="E74" t="str">
        <x:v>Bay of Plenty</x:v>
      </x:c>
      <x:c r="F74" t="str">
        <x:v>Delivered</x:v>
      </x:c>
      <x:c r="G74" t="n">
        <x:v>25</x:v>
      </x:c>
      <x:c r="H74" t="n">
        <x:v>25</x:v>
      </x:c>
      <x:c r="I74" t="n">
        <x:v>0</x:v>
      </x:c>
      <x:c r="J74" t="n">
        <x:v>3007.65</x:v>
      </x:c>
      <x:c r="K74" t="n">
        <x:v>2143.2</x:v>
      </x:c>
      <x:c r="L74" t="n">
        <x:f>IFERROR(DATEVALUE(D74)-DATEVALUE(B74),"")</x:f>
        <x:v>5</x:v>
      </x:c>
      <x:c r="M74" t="n">
        <x:f>IFERROR(IF(AND(DATEVALUE(D74)&lt;=DATEVALUE(C74),I74=0),1,0),0)</x:f>
        <x:v>1</x:v>
      </x:c>
    </x:row>
    <x:row r="75">
      <x:c r="A75" t="str">
        <x:v>SO0000074</x:v>
      </x:c>
      <x:c r="B75" t="str">
        <x:v>2025-11-24</x:v>
      </x:c>
      <x:c r="C75" t="str">
        <x:v>2025-12-02</x:v>
      </x:c>
      <x:c r="D75" t="str">
        <x:v>2025-11-28</x:v>
      </x:c>
      <x:c r="E75" t="str">
        <x:v>Waikato</x:v>
      </x:c>
      <x:c r="F75" t="str">
        <x:v>Delivered</x:v>
      </x:c>
      <x:c r="G75" t="n">
        <x:v>23</x:v>
      </x:c>
      <x:c r="H75" t="n">
        <x:v>23</x:v>
      </x:c>
      <x:c r="I75" t="n">
        <x:v>0</x:v>
      </x:c>
      <x:c r="J75" t="n">
        <x:v>1073.18</x:v>
      </x:c>
      <x:c r="K75" t="n">
        <x:v>698.26</x:v>
      </x:c>
      <x:c r="L75" t="n">
        <x:f>IFERROR(DATEVALUE(D75)-DATEVALUE(B75),"")</x:f>
        <x:v>4</x:v>
      </x:c>
      <x:c r="M75" t="n">
        <x:f>IFERROR(IF(AND(DATEVALUE(D75)&lt;=DATEVALUE(C75),I75=0),1,0),0)</x:f>
        <x:v>1</x:v>
      </x:c>
    </x:row>
    <x:row r="76">
      <x:c r="A76" t="str">
        <x:v>SO0000075</x:v>
      </x:c>
      <x:c r="B76" t="str">
        <x:v>2026-02-11</x:v>
      </x:c>
      <x:c r="C76" t="str">
        <x:v>2026-02-19</x:v>
      </x:c>
      <x:c r="D76" t="str">
        <x:v>2026-02-17</x:v>
      </x:c>
      <x:c r="E76" t="str">
        <x:v>Wellington</x:v>
      </x:c>
      <x:c r="F76" t="str">
        <x:v>Delivered</x:v>
      </x:c>
      <x:c r="G76" t="n">
        <x:v>16</x:v>
      </x:c>
      <x:c r="H76" t="n">
        <x:v>16</x:v>
      </x:c>
      <x:c r="I76" t="n">
        <x:v>0</x:v>
      </x:c>
      <x:c r="J76" t="n">
        <x:v>1759.92</x:v>
      </x:c>
      <x:c r="K76" t="n">
        <x:v>1293.68</x:v>
      </x:c>
      <x:c r="L76" t="n">
        <x:f>IFERROR(DATEVALUE(D76)-DATEVALUE(B76),"")</x:f>
        <x:v>6</x:v>
      </x:c>
      <x:c r="M76" t="n">
        <x:f>IFERROR(IF(AND(DATEVALUE(D76)&lt;=DATEVALUE(C76),I76=0),1,0),0)</x:f>
        <x:v>1</x:v>
      </x:c>
    </x:row>
    <x:row r="77">
      <x:c r="A77" t="str">
        <x:v>SO0000076</x:v>
      </x:c>
      <x:c r="B77" t="str">
        <x:v>2025-02-10</x:v>
      </x:c>
      <x:c r="C77" t="str">
        <x:v>2025-02-16</x:v>
      </x:c>
      <x:c r="D77" t="str">
        <x:v>2025-02-15</x:v>
      </x:c>
      <x:c r="E77" t="str">
        <x:v>Waikato</x:v>
      </x:c>
      <x:c r="F77" t="str">
        <x:v>Partially Delivered</x:v>
      </x:c>
      <x:c r="G77" t="n">
        <x:v>28</x:v>
      </x:c>
      <x:c r="H77" t="n">
        <x:v>8</x:v>
      </x:c>
      <x:c r="I77" t="n">
        <x:v>20</x:v>
      </x:c>
      <x:c r="J77" t="n">
        <x:v>261.44</x:v>
      </x:c>
      <x:c r="K77" t="n">
        <x:v>174.64</x:v>
      </x:c>
      <x:c r="L77" t="n">
        <x:f>IFERROR(DATEVALUE(D77)-DATEVALUE(B77),"")</x:f>
        <x:v>5</x:v>
      </x:c>
      <x:c r="M77" t="n">
        <x:f>IFERROR(IF(AND(DATEVALUE(D77)&lt;=DATEVALUE(C77),I77=0),1,0),0)</x:f>
        <x:v>0</x:v>
      </x:c>
    </x:row>
    <x:row r="78">
      <x:c r="A78" t="str">
        <x:v>SO0000077</x:v>
      </x:c>
      <x:c r="B78" t="str">
        <x:v>2025-11-11</x:v>
      </x:c>
      <x:c r="C78" t="str">
        <x:v>2025-11-22</x:v>
      </x:c>
      <x:c r="D78" t="str">
        <x:v>2025-11-17</x:v>
      </x:c>
      <x:c r="E78" t="str">
        <x:v>Wellington</x:v>
      </x:c>
      <x:c r="F78" t="str">
        <x:v>Delivered</x:v>
      </x:c>
      <x:c r="G78" t="n">
        <x:v>90</x:v>
      </x:c>
      <x:c r="H78" t="n">
        <x:v>90</x:v>
      </x:c>
      <x:c r="I78" t="n">
        <x:v>0</x:v>
      </x:c>
      <x:c r="J78" t="n">
        <x:v>10629.9</x:v>
      </x:c>
      <x:c r="K78" t="n">
        <x:v>7437.2</x:v>
      </x:c>
      <x:c r="L78" t="n">
        <x:f>IFERROR(DATEVALUE(D78)-DATEVALUE(B78),"")</x:f>
        <x:v>6</x:v>
      </x:c>
      <x:c r="M78" t="n">
        <x:f>IFERROR(IF(AND(DATEVALUE(D78)&lt;=DATEVALUE(C78),I78=0),1,0),0)</x:f>
        <x:v>1</x:v>
      </x:c>
    </x:row>
    <x:row r="79">
      <x:c r="A79" t="str">
        <x:v>SO0000078</x:v>
      </x:c>
      <x:c r="B79" t="str">
        <x:v>2025-03-13</x:v>
      </x:c>
      <x:c r="C79" t="str">
        <x:v>2025-03-22</x:v>
      </x:c>
      <x:c r="D79" t="str">
        <x:v>2025-03-16</x:v>
      </x:c>
      <x:c r="E79" t="str">
        <x:v>Auckland</x:v>
      </x:c>
      <x:c r="F79" t="str">
        <x:v>Delivered</x:v>
      </x:c>
      <x:c r="G79" t="n">
        <x:v>33</x:v>
      </x:c>
      <x:c r="H79" t="n">
        <x:v>33</x:v>
      </x:c>
      <x:c r="I79" t="n">
        <x:v>0</x:v>
      </x:c>
      <x:c r="J79" t="n">
        <x:v>2931.52</x:v>
      </x:c>
      <x:c r="K79" t="n">
        <x:v>2288.74</x:v>
      </x:c>
      <x:c r="L79" t="n">
        <x:f>IFERROR(DATEVALUE(D79)-DATEVALUE(B79),"")</x:f>
        <x:v>3</x:v>
      </x:c>
      <x:c r="M79" t="n">
        <x:f>IFERROR(IF(AND(DATEVALUE(D79)&lt;=DATEVALUE(C79),I79=0),1,0),0)</x:f>
        <x:v>1</x:v>
      </x:c>
    </x:row>
    <x:row r="80">
      <x:c r="A80" t="str">
        <x:v>SO0000079</x:v>
      </x:c>
      <x:c r="B80" t="str">
        <x:v>2025-12-06</x:v>
      </x:c>
      <x:c r="C80" t="str">
        <x:v>2025-12-17</x:v>
      </x:c>
      <x:c r="D80" t="str">
        <x:v>2025-12-10</x:v>
      </x:c>
      <x:c r="E80" t="str">
        <x:v>Auckland</x:v>
      </x:c>
      <x:c r="F80" t="str">
        <x:v>Delivered</x:v>
      </x:c>
      <x:c r="G80" t="n">
        <x:v>18</x:v>
      </x:c>
      <x:c r="H80" t="n">
        <x:v>18</x:v>
      </x:c>
      <x:c r="I80" t="n">
        <x:v>0</x:v>
      </x:c>
      <x:c r="J80" t="n">
        <x:v>497.42</x:v>
      </x:c>
      <x:c r="K80" t="n">
        <x:v>359.8</x:v>
      </x:c>
      <x:c r="L80" t="n">
        <x:f>IFERROR(DATEVALUE(D80)-DATEVALUE(B80),"")</x:f>
        <x:v>4</x:v>
      </x:c>
      <x:c r="M80" t="n">
        <x:f>IFERROR(IF(AND(DATEVALUE(D80)&lt;=DATEVALUE(C80),I80=0),1,0),0)</x:f>
        <x:v>1</x:v>
      </x:c>
    </x:row>
    <x:row r="81">
      <x:c r="A81" t="str">
        <x:v>SO0000080</x:v>
      </x:c>
      <x:c r="B81" t="str">
        <x:v>2026-09-01</x:v>
      </x:c>
      <x:c r="C81" t="str">
        <x:v>2026-09-09</x:v>
      </x:c>
      <x:c r="D81" t="str">
        <x:v>2026-09-06</x:v>
      </x:c>
      <x:c r="E81" t="str">
        <x:v>Wellington</x:v>
      </x:c>
      <x:c r="F81" t="str">
        <x:v>Delivered</x:v>
      </x:c>
      <x:c r="G81" t="n">
        <x:v>30</x:v>
      </x:c>
      <x:c r="H81" t="n">
        <x:v>30</x:v>
      </x:c>
      <x:c r="I81" t="n">
        <x:v>0</x:v>
      </x:c>
      <x:c r="J81" t="n">
        <x:v>4343.85</x:v>
      </x:c>
      <x:c r="K81" t="n">
        <x:v>3082.8</x:v>
      </x:c>
      <x:c r="L81" t="n">
        <x:f>IFERROR(DATEVALUE(D81)-DATEVALUE(B81),"")</x:f>
        <x:v>5</x:v>
      </x:c>
      <x:c r="M81" t="n">
        <x:f>IFERROR(IF(AND(DATEVALUE(D81)&lt;=DATEVALUE(C81),I81=0),1,0),0)</x:f>
        <x:v>1</x:v>
      </x:c>
    </x:row>
    <x:row r="82">
      <x:c r="A82" t="str">
        <x:v>SO0000081</x:v>
      </x:c>
      <x:c r="B82" t="str">
        <x:v>2024-11-04</x:v>
      </x:c>
      <x:c r="C82" t="str">
        <x:v>2024-11-15</x:v>
      </x:c>
      <x:c r="D82" t="str">
        <x:v>2024-11-10</x:v>
      </x:c>
      <x:c r="E82" t="str">
        <x:v>Auckland</x:v>
      </x:c>
      <x:c r="F82" t="str">
        <x:v>Partially Delivered</x:v>
      </x:c>
      <x:c r="G82" t="n">
        <x:v>70</x:v>
      </x:c>
      <x:c r="H82" t="n">
        <x:v>40</x:v>
      </x:c>
      <x:c r="I82" t="n">
        <x:v>30</x:v>
      </x:c>
      <x:c r="J82" t="n">
        <x:v>1703</x:v>
      </x:c>
      <x:c r="K82" t="n">
        <x:v>1318.7</x:v>
      </x:c>
      <x:c r="L82" t="n">
        <x:f>IFERROR(DATEVALUE(D82)-DATEVALUE(B82),"")</x:f>
        <x:v>6</x:v>
      </x:c>
      <x:c r="M82" t="n">
        <x:f>IFERROR(IF(AND(DATEVALUE(D82)&lt;=DATEVALUE(C82),I82=0),1,0),0)</x:f>
        <x:v>0</x:v>
      </x:c>
    </x:row>
    <x:row r="83">
      <x:c r="A83" t="str">
        <x:v>SO0000082</x:v>
      </x:c>
      <x:c r="B83" t="str">
        <x:v>2026-06-07</x:v>
      </x:c>
      <x:c r="C83" t="str">
        <x:v>2026-06-13</x:v>
      </x:c>
      <x:c r="D83" t="str">
        <x:v>2026-06-12</x:v>
      </x:c>
      <x:c r="E83" t="str">
        <x:v>Auckland</x:v>
      </x:c>
      <x:c r="F83" t="str">
        <x:v>Delivered</x:v>
      </x:c>
      <x:c r="G83" t="n">
        <x:v>23</x:v>
      </x:c>
      <x:c r="H83" t="n">
        <x:v>23</x:v>
      </x:c>
      <x:c r="I83" t="n">
        <x:v>0</x:v>
      </x:c>
      <x:c r="J83" t="n">
        <x:v>626.09</x:v>
      </x:c>
      <x:c r="K83" t="n">
        <x:v>411.17</x:v>
      </x:c>
      <x:c r="L83" t="n">
        <x:f>IFERROR(DATEVALUE(D83)-DATEVALUE(B83),"")</x:f>
        <x:v>5</x:v>
      </x:c>
      <x:c r="M83" t="n">
        <x:f>IFERROR(IF(AND(DATEVALUE(D83)&lt;=DATEVALUE(C83),I83=0),1,0),0)</x:f>
        <x:v>1</x:v>
      </x:c>
    </x:row>
    <x:row r="84">
      <x:c r="A84" t="str">
        <x:v>SO0000083</x:v>
      </x:c>
      <x:c r="B84" t="str">
        <x:v>2026-01-05</x:v>
      </x:c>
      <x:c r="C84" t="str">
        <x:v>2026-01-15</x:v>
      </x:c>
      <x:c r="D84" t="str">
        <x:v>2026-01-11</x:v>
      </x:c>
      <x:c r="E84" t="str">
        <x:v>Wellington</x:v>
      </x:c>
      <x:c r="F84" t="str">
        <x:v>Delivered</x:v>
      </x:c>
      <x:c r="G84" t="n">
        <x:v>10</x:v>
      </x:c>
      <x:c r="H84" t="n">
        <x:v>10</x:v>
      </x:c>
      <x:c r="I84" t="n">
        <x:v>0</x:v>
      </x:c>
      <x:c r="J84" t="n">
        <x:v>1562.8</x:v>
      </x:c>
      <x:c r="K84" t="n">
        <x:v>1028.5</x:v>
      </x:c>
      <x:c r="L84" t="n">
        <x:f>IFERROR(DATEVALUE(D84)-DATEVALUE(B84),"")</x:f>
        <x:v>6</x:v>
      </x:c>
      <x:c r="M84" t="n">
        <x:f>IFERROR(IF(AND(DATEVALUE(D84)&lt;=DATEVALUE(C84),I84=0),1,0),0)</x:f>
        <x:v>1</x:v>
      </x:c>
    </x:row>
    <x:row r="85">
      <x:c r="A85" t="str">
        <x:v>SO0000084</x:v>
      </x:c>
      <x:c r="B85" t="str">
        <x:v>2025-01-31</x:v>
      </x:c>
      <x:c r="C85" t="str">
        <x:v>2025-02-06</x:v>
      </x:c>
      <x:c r="D85" t="str">
        <x:v>2025-02-05</x:v>
      </x:c>
      <x:c r="E85" t="str">
        <x:v>Wellington</x:v>
      </x:c>
      <x:c r="F85" t="str">
        <x:v>Delivered</x:v>
      </x:c>
      <x:c r="G85" t="n">
        <x:v>43</x:v>
      </x:c>
      <x:c r="H85" t="n">
        <x:v>43</x:v>
      </x:c>
      <x:c r="I85" t="n">
        <x:v>0</x:v>
      </x:c>
      <x:c r="J85" t="n">
        <x:v>5100.01</x:v>
      </x:c>
      <x:c r="K85" t="n">
        <x:v>3404.51</x:v>
      </x:c>
      <x:c r="L85" t="n">
        <x:f>IFERROR(DATEVALUE(D85)-DATEVALUE(B85),"")</x:f>
        <x:v>5</x:v>
      </x:c>
      <x:c r="M85" t="n">
        <x:f>IFERROR(IF(AND(DATEVALUE(D85)&lt;=DATEVALUE(C85),I85=0),1,0),0)</x:f>
        <x:v>1</x:v>
      </x:c>
    </x:row>
    <x:row r="86">
      <x:c r="A86" t="str">
        <x:v>SO0000085</x:v>
      </x:c>
      <x:c r="B86" t="str">
        <x:v>2026-09-17</x:v>
      </x:c>
      <x:c r="C86" t="str">
        <x:v>2026-09-26</x:v>
      </x:c>
      <x:c r="D86" t="str">
        <x:v>2026-09-25</x:v>
      </x:c>
      <x:c r="E86" t="str">
        <x:v>Canterbury</x:v>
      </x:c>
      <x:c r="F86" t="str">
        <x:v>Delivered</x:v>
      </x:c>
      <x:c r="G86" t="n">
        <x:v>10</x:v>
      </x:c>
      <x:c r="H86" t="n">
        <x:v>10</x:v>
      </x:c>
      <x:c r="I86" t="n">
        <x:v>0</x:v>
      </x:c>
      <x:c r="J86" t="n">
        <x:v>590.4</x:v>
      </x:c>
      <x:c r="K86" t="n">
        <x:v>469.6</x:v>
      </x:c>
      <x:c r="L86" t="n">
        <x:f>IFERROR(DATEVALUE(D86)-DATEVALUE(B86),"")</x:f>
        <x:v>8</x:v>
      </x:c>
      <x:c r="M86" t="n">
        <x:f>IFERROR(IF(AND(DATEVALUE(D86)&lt;=DATEVALUE(C86),I86=0),1,0),0)</x:f>
        <x:v>1</x:v>
      </x:c>
    </x:row>
    <x:row r="87">
      <x:c r="A87" t="str">
        <x:v>SO0000086</x:v>
      </x:c>
      <x:c r="B87" t="str">
        <x:v>2025-07-21</x:v>
      </x:c>
      <x:c r="C87" t="str">
        <x:v>2025-07-31</x:v>
      </x:c>
      <x:c r="D87" t="str">
        <x:v>2025-07-27</x:v>
      </x:c>
      <x:c r="E87" t="str">
        <x:v>Auckland</x:v>
      </x:c>
      <x:c r="F87" t="str">
        <x:v>Delivered</x:v>
      </x:c>
      <x:c r="G87" t="n">
        <x:v>15</x:v>
      </x:c>
      <x:c r="H87" t="n">
        <x:v>15</x:v>
      </x:c>
      <x:c r="I87" t="n">
        <x:v>0</x:v>
      </x:c>
      <x:c r="J87" t="n">
        <x:v>1668.8</x:v>
      </x:c>
      <x:c r="K87" t="n">
        <x:v>1296.55</x:v>
      </x:c>
      <x:c r="L87" t="n">
        <x:f>IFERROR(DATEVALUE(D87)-DATEVALUE(B87),"")</x:f>
        <x:v>6</x:v>
      </x:c>
      <x:c r="M87" t="n">
        <x:f>IFERROR(IF(AND(DATEVALUE(D87)&lt;=DATEVALUE(C87),I87=0),1,0),0)</x:f>
        <x:v>1</x:v>
      </x:c>
    </x:row>
    <x:row r="88">
      <x:c r="A88" t="str">
        <x:v>SO0000087</x:v>
      </x:c>
      <x:c r="B88" t="str">
        <x:v>2026-01-29</x:v>
      </x:c>
      <x:c r="C88" t="str">
        <x:v>2026-02-05</x:v>
      </x:c>
      <x:c r="D88" t="str">
        <x:v>2026-02-03</x:v>
      </x:c>
      <x:c r="E88" t="str">
        <x:v>Waikato</x:v>
      </x:c>
      <x:c r="F88" t="str">
        <x:v>Partially Delivered</x:v>
      </x:c>
      <x:c r="G88" t="n">
        <x:v>28</x:v>
      </x:c>
      <x:c r="H88" t="n">
        <x:v>20</x:v>
      </x:c>
      <x:c r="I88" t="n">
        <x:v>8</x:v>
      </x:c>
      <x:c r="J88" t="n">
        <x:v>618.2</x:v>
      </x:c>
      <x:c r="K88" t="n">
        <x:v>400.6</x:v>
      </x:c>
      <x:c r="L88" t="n">
        <x:f>IFERROR(DATEVALUE(D88)-DATEVALUE(B88),"")</x:f>
        <x:v>5</x:v>
      </x:c>
      <x:c r="M88" t="n">
        <x:f>IFERROR(IF(AND(DATEVALUE(D88)&lt;=DATEVALUE(C88),I88=0),1,0),0)</x:f>
        <x:v>0</x:v>
      </x:c>
    </x:row>
    <x:row r="89">
      <x:c r="A89" t="str">
        <x:v>SO0000088</x:v>
      </x:c>
      <x:c r="B89" t="str">
        <x:v>2024-10-20</x:v>
      </x:c>
      <x:c r="C89" t="str">
        <x:v>2024-10-29</x:v>
      </x:c>
      <x:c r="D89" t="str">
        <x:v>2024-10-26</x:v>
      </x:c>
      <x:c r="E89" t="str">
        <x:v>Auckland</x:v>
      </x:c>
      <x:c r="F89" t="str">
        <x:v>Partially Delivered</x:v>
      </x:c>
      <x:c r="G89" t="n">
        <x:v>25</x:v>
      </x:c>
      <x:c r="H89" t="n">
        <x:v>20</x:v>
      </x:c>
      <x:c r="I89" t="n">
        <x:v>5</x:v>
      </x:c>
      <x:c r="J89" t="n">
        <x:v>3235.2</x:v>
      </x:c>
      <x:c r="K89" t="n">
        <x:v>2364</x:v>
      </x:c>
      <x:c r="L89" t="n">
        <x:f>IFERROR(DATEVALUE(D89)-DATEVALUE(B89),"")</x:f>
        <x:v>6</x:v>
      </x:c>
      <x:c r="M89" t="n">
        <x:f>IFERROR(IF(AND(DATEVALUE(D89)&lt;=DATEVALUE(C89),I89=0),1,0),0)</x:f>
        <x:v>0</x:v>
      </x:c>
    </x:row>
    <x:row r="90">
      <x:c r="A90" t="str">
        <x:v>SO0000089</x:v>
      </x:c>
      <x:c r="B90" t="str">
        <x:v>2025-04-30</x:v>
      </x:c>
      <x:c r="C90" t="str">
        <x:v>2025-05-06</x:v>
      </x:c>
      <x:c r="D90" t="str">
        <x:v>2025-05-04</x:v>
      </x:c>
      <x:c r="E90" t="str">
        <x:v>Auckland</x:v>
      </x:c>
      <x:c r="F90" t="str">
        <x:v>Delivered</x:v>
      </x:c>
      <x:c r="G90" t="n">
        <x:v>30</x:v>
      </x:c>
      <x:c r="H90" t="n">
        <x:v>30</x:v>
      </x:c>
      <x:c r="I90" t="n">
        <x:v>0</x:v>
      </x:c>
      <x:c r="J90" t="n">
        <x:v>5220</x:v>
      </x:c>
      <x:c r="K90" t="n">
        <x:v>3411.2</x:v>
      </x:c>
      <x:c r="L90" t="n">
        <x:f>IFERROR(DATEVALUE(D90)-DATEVALUE(B90),"")</x:f>
        <x:v>4</x:v>
      </x:c>
      <x:c r="M90" t="n">
        <x:f>IFERROR(IF(AND(DATEVALUE(D90)&lt;=DATEVALUE(C90),I90=0),1,0),0)</x:f>
        <x:v>1</x:v>
      </x:c>
    </x:row>
    <x:row r="91">
      <x:c r="A91" t="str">
        <x:v>SO0000090</x:v>
      </x:c>
      <x:c r="B91" t="str">
        <x:v>2024-12-14</x:v>
      </x:c>
      <x:c r="C91" t="str">
        <x:v>2024-12-25</x:v>
      </x:c>
      <x:c r="D91" t="str">
        <x:v>2024-12-20</x:v>
      </x:c>
      <x:c r="E91" t="str">
        <x:v>Auckland</x:v>
      </x:c>
      <x:c r="F91" t="str">
        <x:v>Delivered</x:v>
      </x:c>
      <x:c r="G91" t="n">
        <x:v>21</x:v>
      </x:c>
      <x:c r="H91" t="n">
        <x:v>21</x:v>
      </x:c>
      <x:c r="I91" t="n">
        <x:v>0</x:v>
      </x:c>
      <x:c r="J91" t="n">
        <x:v>1954.81</x:v>
      </x:c>
      <x:c r="K91" t="n">
        <x:v>1371.3</x:v>
      </x:c>
      <x:c r="L91" t="n">
        <x:f>IFERROR(DATEVALUE(D91)-DATEVALUE(B91),"")</x:f>
        <x:v>6</x:v>
      </x:c>
      <x:c r="M91" t="n">
        <x:f>IFERROR(IF(AND(DATEVALUE(D91)&lt;=DATEVALUE(C91),I91=0),1,0),0)</x:f>
        <x:v>1</x:v>
      </x:c>
    </x:row>
    <x:row r="92">
      <x:c r="A92" t="str">
        <x:v>SO0000091</x:v>
      </x:c>
      <x:c r="B92" t="str">
        <x:v>2026-01-09</x:v>
      </x:c>
      <x:c r="C92" t="str">
        <x:v>2026-01-17</x:v>
      </x:c>
      <x:c r="D92" t="str">
        <x:v>2026-01-14</x:v>
      </x:c>
      <x:c r="E92" t="str">
        <x:v>Bay of Plenty</x:v>
      </x:c>
      <x:c r="F92" t="str">
        <x:v>Partially Delivered</x:v>
      </x:c>
      <x:c r="G92" t="n">
        <x:v>70</x:v>
      </x:c>
      <x:c r="H92" t="n">
        <x:v>50</x:v>
      </x:c>
      <x:c r="I92" t="n">
        <x:v>20</x:v>
      </x:c>
      <x:c r="J92" t="n">
        <x:v>8147.55</x:v>
      </x:c>
      <x:c r="K92" t="n">
        <x:v>5776.5</x:v>
      </x:c>
      <x:c r="L92" t="n">
        <x:f>IFERROR(DATEVALUE(D92)-DATEVALUE(B92),"")</x:f>
        <x:v>5</x:v>
      </x:c>
      <x:c r="M92" t="n">
        <x:f>IFERROR(IF(AND(DATEVALUE(D92)&lt;=DATEVALUE(C92),I92=0),1,0),0)</x:f>
        <x:v>0</x:v>
      </x:c>
    </x:row>
    <x:row r="93">
      <x:c r="A93" t="str">
        <x:v>SO0000092</x:v>
      </x:c>
      <x:c r="B93" t="str">
        <x:v>2026-05-13</x:v>
      </x:c>
      <x:c r="C93" t="str">
        <x:v>2026-05-21</x:v>
      </x:c>
      <x:c r="D93" t="str">
        <x:v>2026-05-20</x:v>
      </x:c>
      <x:c r="E93" t="str">
        <x:v>Waikato</x:v>
      </x:c>
      <x:c r="F93" t="str">
        <x:v>Delivered</x:v>
      </x:c>
      <x:c r="G93" t="n">
        <x:v>30</x:v>
      </x:c>
      <x:c r="H93" t="n">
        <x:v>30</x:v>
      </x:c>
      <x:c r="I93" t="n">
        <x:v>0</x:v>
      </x:c>
      <x:c r="J93" t="n">
        <x:v>3705.8</x:v>
      </x:c>
      <x:c r="K93" t="n">
        <x:v>2506.2</x:v>
      </x:c>
      <x:c r="L93" t="n">
        <x:f>IFERROR(DATEVALUE(D93)-DATEVALUE(B93),"")</x:f>
        <x:v>7</x:v>
      </x:c>
      <x:c r="M93" t="n">
        <x:f>IFERROR(IF(AND(DATEVALUE(D93)&lt;=DATEVALUE(C93),I93=0),1,0),0)</x:f>
        <x:v>1</x:v>
      </x:c>
    </x:row>
    <x:row r="94">
      <x:c r="A94" t="str">
        <x:v>SO0000093</x:v>
      </x:c>
      <x:c r="B94" t="str">
        <x:v>2025-05-14</x:v>
      </x:c>
      <x:c r="C94" t="str">
        <x:v>2025-05-24</x:v>
      </x:c>
      <x:c r="D94" t="str">
        <x:v>2025-05-19</x:v>
      </x:c>
      <x:c r="E94" t="str">
        <x:v>Wellington</x:v>
      </x:c>
      <x:c r="F94" t="str">
        <x:v>Delivered</x:v>
      </x:c>
      <x:c r="G94" t="n">
        <x:v>65</x:v>
      </x:c>
      <x:c r="H94" t="n">
        <x:v>65</x:v>
      </x:c>
      <x:c r="I94" t="n">
        <x:v>0</x:v>
      </x:c>
      <x:c r="J94" t="n">
        <x:v>9097.7</x:v>
      </x:c>
      <x:c r="K94" t="n">
        <x:v>7033.5</x:v>
      </x:c>
      <x:c r="L94" t="n">
        <x:f>IFERROR(DATEVALUE(D94)-DATEVALUE(B94),"")</x:f>
        <x:v>5</x:v>
      </x:c>
      <x:c r="M94" t="n">
        <x:f>IFERROR(IF(AND(DATEVALUE(D94)&lt;=DATEVALUE(C94),I94=0),1,0),0)</x:f>
        <x:v>1</x:v>
      </x:c>
    </x:row>
    <x:row r="95">
      <x:c r="A95" t="str">
        <x:v>SO0000094</x:v>
      </x:c>
      <x:c r="B95" t="str">
        <x:v>2026-08-17</x:v>
      </x:c>
      <x:c r="C95" t="str">
        <x:v>2026-08-28</x:v>
      </x:c>
      <x:c r="D95" t="str">
        <x:v>2026-08-22</x:v>
      </x:c>
      <x:c r="E95" t="str">
        <x:v>Waikato</x:v>
      </x:c>
      <x:c r="F95" t="str">
        <x:v>Partially Delivered</x:v>
      </x:c>
      <x:c r="G95" t="n">
        <x:v>25</x:v>
      </x:c>
      <x:c r="H95" t="n">
        <x:v>15</x:v>
      </x:c>
      <x:c r="I95" t="n">
        <x:v>10</x:v>
      </x:c>
      <x:c r="J95" t="n">
        <x:v>1363.8</x:v>
      </x:c>
      <x:c r="K95" t="n">
        <x:v>932.25</x:v>
      </x:c>
      <x:c r="L95" t="n">
        <x:f>IFERROR(DATEVALUE(D95)-DATEVALUE(B95),"")</x:f>
        <x:v>5</x:v>
      </x:c>
      <x:c r="M95" t="n">
        <x:f>IFERROR(IF(AND(DATEVALUE(D95)&lt;=DATEVALUE(C95),I95=0),1,0),0)</x:f>
        <x:v>0</x:v>
      </x:c>
    </x:row>
    <x:row r="96">
      <x:c r="A96" t="str">
        <x:v>SO0000095</x:v>
      </x:c>
      <x:c r="B96" t="str">
        <x:v>2026-04-07</x:v>
      </x:c>
      <x:c r="C96" t="str">
        <x:v>2026-04-12</x:v>
      </x:c>
      <x:c r="D96" t="str">
        <x:v>2026-04-14</x:v>
      </x:c>
      <x:c r="E96" t="str">
        <x:v>Auckland</x:v>
      </x:c>
      <x:c r="F96" t="str">
        <x:v>Delivered</x:v>
      </x:c>
      <x:c r="G96" t="n">
        <x:v>45</x:v>
      </x:c>
      <x:c r="H96" t="n">
        <x:v>45</x:v>
      </x:c>
      <x:c r="I96" t="n">
        <x:v>0</x:v>
      </x:c>
      <x:c r="J96" t="n">
        <x:v>6117.15</x:v>
      </x:c>
      <x:c r="K96" t="n">
        <x:v>4739.1</x:v>
      </x:c>
      <x:c r="L96" t="n">
        <x:f>IFERROR(DATEVALUE(D96)-DATEVALUE(B96),"")</x:f>
        <x:v>7</x:v>
      </x:c>
      <x:c r="M96" t="n">
        <x:f>IFERROR(IF(AND(DATEVALUE(D96)&lt;=DATEVALUE(C96),I96=0),1,0),0)</x:f>
        <x:v>0</x:v>
      </x:c>
    </x:row>
    <x:row r="97">
      <x:c r="A97" t="str">
        <x:v>SO0000096</x:v>
      </x:c>
      <x:c r="B97" t="str">
        <x:v>2025-05-27</x:v>
      </x:c>
      <x:c r="C97" t="str">
        <x:v>2025-06-01</x:v>
      </x:c>
      <x:c r="D97" t="str">
        <x:v>2025-06-01</x:v>
      </x:c>
      <x:c r="E97" t="str">
        <x:v>Wellington</x:v>
      </x:c>
      <x:c r="F97" t="str">
        <x:v>Delivered</x:v>
      </x:c>
      <x:c r="G97" t="n">
        <x:v>8</x:v>
      </x:c>
      <x:c r="H97" t="n">
        <x:v>8</x:v>
      </x:c>
      <x:c r="I97" t="n">
        <x:v>0</x:v>
      </x:c>
      <x:c r="J97" t="n">
        <x:v>472.32</x:v>
      </x:c>
      <x:c r="K97" t="n">
        <x:v>375.68</x:v>
      </x:c>
      <x:c r="L97" t="n">
        <x:f>IFERROR(DATEVALUE(D97)-DATEVALUE(B97),"")</x:f>
        <x:v>5</x:v>
      </x:c>
      <x:c r="M97" t="n">
        <x:f>IFERROR(IF(AND(DATEVALUE(D97)&lt;=DATEVALUE(C97),I97=0),1,0),0)</x:f>
        <x:v>1</x:v>
      </x:c>
    </x:row>
    <x:row r="98">
      <x:c r="A98" t="str">
        <x:v>SO0000097</x:v>
      </x:c>
      <x:c r="B98" t="str">
        <x:v>2026-02-13</x:v>
      </x:c>
      <x:c r="C98" t="str">
        <x:v>2026-02-21</x:v>
      </x:c>
      <x:c r="D98" t="str">
        <x:v>2026-02-19</x:v>
      </x:c>
      <x:c r="E98" t="str">
        <x:v>Waikato</x:v>
      </x:c>
      <x:c r="F98" t="str">
        <x:v>Delivered</x:v>
      </x:c>
      <x:c r="G98" t="n">
        <x:v>68</x:v>
      </x:c>
      <x:c r="H98" t="n">
        <x:v>68</x:v>
      </x:c>
      <x:c r="I98" t="n">
        <x:v>0</x:v>
      </x:c>
      <x:c r="J98" t="n">
        <x:v>6738.52</x:v>
      </x:c>
      <x:c r="K98" t="n">
        <x:v>4459.72</x:v>
      </x:c>
      <x:c r="L98" t="n">
        <x:f>IFERROR(DATEVALUE(D98)-DATEVALUE(B98),"")</x:f>
        <x:v>6</x:v>
      </x:c>
      <x:c r="M98" t="n">
        <x:f>IFERROR(IF(AND(DATEVALUE(D98)&lt;=DATEVALUE(C98),I98=0),1,0),0)</x:f>
        <x:v>1</x:v>
      </x:c>
    </x:row>
    <x:row r="99">
      <x:c r="A99" t="str">
        <x:v>SO0000098</x:v>
      </x:c>
      <x:c r="B99" t="str">
        <x:v>2024-12-23</x:v>
      </x:c>
      <x:c r="C99" t="str">
        <x:v>2025-01-01</x:v>
      </x:c>
      <x:c r="D99" t="str">
        <x:v>2024-12-25</x:v>
      </x:c>
      <x:c r="E99" t="str">
        <x:v>Bay of Plenty</x:v>
      </x:c>
      <x:c r="F99" t="str">
        <x:v>Delivered</x:v>
      </x:c>
      <x:c r="G99" t="n">
        <x:v>15</x:v>
      </x:c>
      <x:c r="H99" t="n">
        <x:v>15</x:v>
      </x:c>
      <x:c r="I99" t="n">
        <x:v>0</x:v>
      </x:c>
      <x:c r="J99" t="n">
        <x:v>1287.3</x:v>
      </x:c>
      <x:c r="K99" t="n">
        <x:v>1021.95</x:v>
      </x:c>
      <x:c r="L99" t="n">
        <x:f>IFERROR(DATEVALUE(D99)-DATEVALUE(B99),"")</x:f>
        <x:v>2</x:v>
      </x:c>
      <x:c r="M99" t="n">
        <x:f>IFERROR(IF(AND(DATEVALUE(D99)&lt;=DATEVALUE(C99),I99=0),1,0),0)</x:f>
        <x:v>1</x:v>
      </x:c>
    </x:row>
    <x:row r="100">
      <x:c r="A100" t="str">
        <x:v>SO0000099</x:v>
      </x:c>
      <x:c r="B100" t="str">
        <x:v>2026-01-16</x:v>
      </x:c>
      <x:c r="C100" t="str">
        <x:v>2026-01-25</x:v>
      </x:c>
      <x:c r="D100" t="str">
        <x:v>2026-01-21</x:v>
      </x:c>
      <x:c r="E100" t="str">
        <x:v>Waikato</x:v>
      </x:c>
      <x:c r="F100" t="str">
        <x:v>Partially Delivered</x:v>
      </x:c>
      <x:c r="G100" t="n">
        <x:v>11</x:v>
      </x:c>
      <x:c r="H100" t="n">
        <x:v>8</x:v>
      </x:c>
      <x:c r="I100" t="n">
        <x:v>3</x:v>
      </x:c>
      <x:c r="J100" t="n">
        <x:v>172</x:v>
      </x:c>
      <x:c r="K100" t="n">
        <x:v>119.12</x:v>
      </x:c>
      <x:c r="L100" t="n">
        <x:f>IFERROR(DATEVALUE(D100)-DATEVALUE(B100),"")</x:f>
        <x:v>5</x:v>
      </x:c>
      <x:c r="M100" t="n">
        <x:f>IFERROR(IF(AND(DATEVALUE(D100)&lt;=DATEVALUE(C100),I100=0),1,0),0)</x:f>
        <x:v>0</x:v>
      </x:c>
    </x:row>
    <x:row r="101">
      <x:c r="A101" t="str">
        <x:v>SO0000100</x:v>
      </x:c>
      <x:c r="B101" t="str">
        <x:v>2026-06-19</x:v>
      </x:c>
      <x:c r="C101" t="str">
        <x:v>2026-06-24</x:v>
      </x:c>
      <x:c r="D101" t="str">
        <x:v>2026-06-23</x:v>
      </x:c>
      <x:c r="E101" t="str">
        <x:v>Waikato</x:v>
      </x:c>
      <x:c r="F101" t="str">
        <x:v>Partially Delivered</x:v>
      </x:c>
      <x:c r="G101" t="n">
        <x:v>80</x:v>
      </x:c>
      <x:c r="H101" t="n">
        <x:v>70</x:v>
      </x:c>
      <x:c r="I101" t="n">
        <x:v>10</x:v>
      </x:c>
      <x:c r="J101" t="n">
        <x:v>7368.3</x:v>
      </x:c>
      <x:c r="K101" t="n">
        <x:v>5110.6</x:v>
      </x:c>
      <x:c r="L101" t="n">
        <x:f>IFERROR(DATEVALUE(D101)-DATEVALUE(B101),"")</x:f>
        <x:v>4</x:v>
      </x:c>
      <x:c r="M101" t="n">
        <x:f>IFERROR(IF(AND(DATEVALUE(D101)&lt;=DATEVALUE(C101),I101=0),1,0),0)</x:f>
        <x:v>0</x:v>
      </x:c>
    </x:row>
    <x:row r="102">
      <x:c r="A102" t="str">
        <x:v>SO0000101</x:v>
      </x:c>
      <x:c r="B102" t="str">
        <x:v>2026-05-16</x:v>
      </x:c>
      <x:c r="C102" t="str">
        <x:v>2026-05-22</x:v>
      </x:c>
      <x:c r="D102" t="str">
        <x:v>2026-05-22</x:v>
      </x:c>
      <x:c r="E102" t="str">
        <x:v>Canterbury</x:v>
      </x:c>
      <x:c r="F102" t="str">
        <x:v>Delivered</x:v>
      </x:c>
      <x:c r="G102" t="n">
        <x:v>13</x:v>
      </x:c>
      <x:c r="H102" t="n">
        <x:v>13</x:v>
      </x:c>
      <x:c r="I102" t="n">
        <x:v>0</x:v>
      </x:c>
      <x:c r="J102" t="n">
        <x:v>1346.59</x:v>
      </x:c>
      <x:c r="K102" t="n">
        <x:v>956.03</x:v>
      </x:c>
      <x:c r="L102" t="n">
        <x:f>IFERROR(DATEVALUE(D102)-DATEVALUE(B102),"")</x:f>
        <x:v>6</x:v>
      </x:c>
      <x:c r="M102" t="n">
        <x:f>IFERROR(IF(AND(DATEVALUE(D102)&lt;=DATEVALUE(C102),I102=0),1,0),0)</x:f>
        <x:v>1</x:v>
      </x:c>
    </x:row>
    <x:row r="103">
      <x:c r="A103" t="str">
        <x:v>SO0000102</x:v>
      </x:c>
      <x:c r="B103" t="str">
        <x:v>2026-07-21</x:v>
      </x:c>
      <x:c r="C103" t="str">
        <x:v>2026-07-29</x:v>
      </x:c>
      <x:c r="D103" t="str">
        <x:v>2026-07-27</x:v>
      </x:c>
      <x:c r="E103" t="str">
        <x:v>Auckland</x:v>
      </x:c>
      <x:c r="F103" t="str">
        <x:v>Delivered</x:v>
      </x:c>
      <x:c r="G103" t="n">
        <x:v>10</x:v>
      </x:c>
      <x:c r="H103" t="n">
        <x:v>10</x:v>
      </x:c>
      <x:c r="I103" t="n">
        <x:v>0</x:v>
      </x:c>
      <x:c r="J103" t="n">
        <x:v>576.4</x:v>
      </x:c>
      <x:c r="K103" t="n">
        <x:v>489.5</x:v>
      </x:c>
      <x:c r="L103" t="n">
        <x:f>IFERROR(DATEVALUE(D103)-DATEVALUE(B103),"")</x:f>
        <x:v>6</x:v>
      </x:c>
      <x:c r="M103" t="n">
        <x:f>IFERROR(IF(AND(DATEVALUE(D103)&lt;=DATEVALUE(C103),I103=0),1,0),0)</x:f>
        <x:v>1</x:v>
      </x:c>
    </x:row>
    <x:row r="104">
      <x:c r="A104" t="str">
        <x:v>SO0000103</x:v>
      </x:c>
      <x:c r="B104" t="str">
        <x:v>2025-05-19</x:v>
      </x:c>
      <x:c r="C104" t="str">
        <x:v>2025-05-28</x:v>
      </x:c>
      <x:c r="D104" t="str">
        <x:v>2025-05-23</x:v>
      </x:c>
      <x:c r="E104" t="str">
        <x:v>Auckland</x:v>
      </x:c>
      <x:c r="F104" t="str">
        <x:v>Delivered</x:v>
      </x:c>
      <x:c r="G104" t="n">
        <x:v>25</x:v>
      </x:c>
      <x:c r="H104" t="n">
        <x:v>25</x:v>
      </x:c>
      <x:c r="I104" t="n">
        <x:v>0</x:v>
      </x:c>
      <x:c r="J104" t="n">
        <x:v>4524.2</x:v>
      </x:c>
      <x:c r="K104" t="n">
        <x:v>3257.2</x:v>
      </x:c>
      <x:c r="L104" t="n">
        <x:f>IFERROR(DATEVALUE(D104)-DATEVALUE(B104),"")</x:f>
        <x:v>4</x:v>
      </x:c>
      <x:c r="M104" t="n">
        <x:f>IFERROR(IF(AND(DATEVALUE(D104)&lt;=DATEVALUE(C104),I104=0),1,0),0)</x:f>
        <x:v>1</x:v>
      </x:c>
    </x:row>
    <x:row r="105">
      <x:c r="A105" t="str">
        <x:v>SO0000104</x:v>
      </x:c>
      <x:c r="B105" t="str">
        <x:v>2026-01-05</x:v>
      </x:c>
      <x:c r="C105" t="str">
        <x:v>2026-01-16</x:v>
      </x:c>
      <x:c r="D105" t="str">
        <x:v>2026-01-12</x:v>
      </x:c>
      <x:c r="E105" t="str">
        <x:v>Canterbury</x:v>
      </x:c>
      <x:c r="F105" t="str">
        <x:v>Delivered</x:v>
      </x:c>
      <x:c r="G105" t="n">
        <x:v>18</x:v>
      </x:c>
      <x:c r="H105" t="n">
        <x:v>18</x:v>
      </x:c>
      <x:c r="I105" t="n">
        <x:v>0</x:v>
      </x:c>
      <x:c r="J105" t="n">
        <x:v>3414</x:v>
      </x:c>
      <x:c r="K105" t="n">
        <x:v>2225.07</x:v>
      </x:c>
      <x:c r="L105" t="n">
        <x:f>IFERROR(DATEVALUE(D105)-DATEVALUE(B105),"")</x:f>
        <x:v>7</x:v>
      </x:c>
      <x:c r="M105" t="n">
        <x:f>IFERROR(IF(AND(DATEVALUE(D105)&lt;=DATEVALUE(C105),I105=0),1,0),0)</x:f>
        <x:v>1</x:v>
      </x:c>
    </x:row>
    <x:row r="106">
      <x:c r="A106" t="str">
        <x:v>SO0000105</x:v>
      </x:c>
      <x:c r="B106" t="str">
        <x:v>2026-08-05</x:v>
      </x:c>
      <x:c r="C106" t="str">
        <x:v>2026-08-14</x:v>
      </x:c>
      <x:c r="D106"/>
      <x:c r="E106" t="str">
        <x:v>Wellington</x:v>
      </x:c>
      <x:c r="F106" t="str">
        <x:v>Open</x:v>
      </x:c>
      <x:c r="G106" t="n">
        <x:v>25</x:v>
      </x:c>
      <x:c r="H106" t="n">
        <x:v>0</x:v>
      </x:c>
      <x:c r="I106" t="n">
        <x:v>25</x:v>
      </x:c>
      <x:c r="J106" t="str">
        <x:v>0.0</x:v>
      </x:c>
      <x:c r="K106" t="str">
        <x:v>0.0</x:v>
      </x:c>
      <x:c r="L106" t="str">
        <x:f>IFERROR(DATEVALUE(D106)-DATEVALUE(B106),"")</x:f>
      </x:c>
      <x:c r="M106" t="n">
        <x:f>IFERROR(IF(AND(DATEVALUE(D106)&lt;=DATEVALUE(C106),I106=0),1,0),0)</x:f>
        <x:v>0</x:v>
      </x:c>
    </x:row>
    <x:row r="107">
      <x:c r="A107" t="str">
        <x:v>SO0000106</x:v>
      </x:c>
      <x:c r="B107" t="str">
        <x:v>2025-05-19</x:v>
      </x:c>
      <x:c r="C107" t="str">
        <x:v>2025-05-27</x:v>
      </x:c>
      <x:c r="D107"/>
      <x:c r="E107" t="str">
        <x:v>Wellington</x:v>
      </x:c>
      <x:c r="F107" t="str">
        <x:v>Open</x:v>
      </x:c>
      <x:c r="G107" t="n">
        <x:v>1</x:v>
      </x:c>
      <x:c r="H107" t="n">
        <x:v>0</x:v>
      </x:c>
      <x:c r="I107" t="n">
        <x:v>1</x:v>
      </x:c>
      <x:c r="J107" t="str">
        <x:v>0.0</x:v>
      </x:c>
      <x:c r="K107" t="str">
        <x:v>0.0</x:v>
      </x:c>
      <x:c r="L107" t="str">
        <x:f>IFERROR(DATEVALUE(D107)-DATEVALUE(B107),"")</x:f>
      </x:c>
      <x:c r="M107" t="n">
        <x:f>IFERROR(IF(AND(DATEVALUE(D107)&lt;=DATEVALUE(C107),I107=0),1,0),0)</x:f>
        <x:v>0</x:v>
      </x:c>
    </x:row>
    <x:row r="108">
      <x:c r="A108" t="str">
        <x:v>SO0000107</x:v>
      </x:c>
      <x:c r="B108" t="str">
        <x:v>2024-12-23</x:v>
      </x:c>
      <x:c r="C108" t="str">
        <x:v>2025-01-02</x:v>
      </x:c>
      <x:c r="D108" t="str">
        <x:v>2024-12-27</x:v>
      </x:c>
      <x:c r="E108" t="str">
        <x:v>Auckland</x:v>
      </x:c>
      <x:c r="F108" t="str">
        <x:v>Delivered</x:v>
      </x:c>
      <x:c r="G108" t="n">
        <x:v>33</x:v>
      </x:c>
      <x:c r="H108" t="n">
        <x:v>33</x:v>
      </x:c>
      <x:c r="I108" t="n">
        <x:v>0</x:v>
      </x:c>
      <x:c r="J108" t="n">
        <x:v>4889.27</x:v>
      </x:c>
      <x:c r="K108" t="n">
        <x:v>3620.82</x:v>
      </x:c>
      <x:c r="L108" t="n">
        <x:f>IFERROR(DATEVALUE(D108)-DATEVALUE(B108),"")</x:f>
        <x:v>4</x:v>
      </x:c>
      <x:c r="M108" t="n">
        <x:f>IFERROR(IF(AND(DATEVALUE(D108)&lt;=DATEVALUE(C108),I108=0),1,0),0)</x:f>
        <x:v>1</x:v>
      </x:c>
    </x:row>
    <x:row r="109">
      <x:c r="A109" t="str">
        <x:v>SO0000108</x:v>
      </x:c>
      <x:c r="B109" t="str">
        <x:v>2026-06-12</x:v>
      </x:c>
      <x:c r="C109" t="str">
        <x:v>2026-06-17</x:v>
      </x:c>
      <x:c r="D109" t="str">
        <x:v>2026-06-16</x:v>
      </x:c>
      <x:c r="E109" t="str">
        <x:v>Canterbury</x:v>
      </x:c>
      <x:c r="F109" t="str">
        <x:v>Delivered</x:v>
      </x:c>
      <x:c r="G109" t="n">
        <x:v>73</x:v>
      </x:c>
      <x:c r="H109" t="n">
        <x:v>73</x:v>
      </x:c>
      <x:c r="I109" t="n">
        <x:v>0</x:v>
      </x:c>
      <x:c r="J109" t="n">
        <x:v>2101.55</x:v>
      </x:c>
      <x:c r="K109" t="n">
        <x:v>1667.36</x:v>
      </x:c>
      <x:c r="L109" t="n">
        <x:f>IFERROR(DATEVALUE(D109)-DATEVALUE(B109),"")</x:f>
        <x:v>4</x:v>
      </x:c>
      <x:c r="M109" t="n">
        <x:f>IFERROR(IF(AND(DATEVALUE(D109)&lt;=DATEVALUE(C109),I109=0),1,0),0)</x:f>
        <x:v>1</x:v>
      </x:c>
    </x:row>
    <x:row r="110">
      <x:c r="A110" t="str">
        <x:v>SO0000109</x:v>
      </x:c>
      <x:c r="B110" t="str">
        <x:v>2024-11-22</x:v>
      </x:c>
      <x:c r="C110" t="str">
        <x:v>2024-11-28</x:v>
      </x:c>
      <x:c r="D110" t="str">
        <x:v>2024-11-28</x:v>
      </x:c>
      <x:c r="E110" t="str">
        <x:v>Wellington</x:v>
      </x:c>
      <x:c r="F110" t="str">
        <x:v>Delivered</x:v>
      </x:c>
      <x:c r="G110" t="n">
        <x:v>13</x:v>
      </x:c>
      <x:c r="H110" t="n">
        <x:v>13</x:v>
      </x:c>
      <x:c r="I110" t="n">
        <x:v>0</x:v>
      </x:c>
      <x:c r="J110" t="n">
        <x:v>690.17</x:v>
      </x:c>
      <x:c r="K110" t="n">
        <x:v>495</x:v>
      </x:c>
      <x:c r="L110" t="n">
        <x:f>IFERROR(DATEVALUE(D110)-DATEVALUE(B110),"")</x:f>
        <x:v>6</x:v>
      </x:c>
      <x:c r="M110" t="n">
        <x:f>IFERROR(IF(AND(DATEVALUE(D110)&lt;=DATEVALUE(C110),I110=0),1,0),0)</x:f>
        <x:v>1</x:v>
      </x:c>
    </x:row>
    <x:row r="111">
      <x:c r="A111" t="str">
        <x:v>SO0000110</x:v>
      </x:c>
      <x:c r="B111" t="str">
        <x:v>2025-05-25</x:v>
      </x:c>
      <x:c r="C111" t="str">
        <x:v>2025-06-01</x:v>
      </x:c>
      <x:c r="D111" t="str">
        <x:v>2025-05-29</x:v>
      </x:c>
      <x:c r="E111" t="str">
        <x:v>Canterbury</x:v>
      </x:c>
      <x:c r="F111" t="str">
        <x:v>Delivered</x:v>
      </x:c>
      <x:c r="G111" t="n">
        <x:v>5</x:v>
      </x:c>
      <x:c r="H111" t="n">
        <x:v>5</x:v>
      </x:c>
      <x:c r="I111" t="n">
        <x:v>0</x:v>
      </x:c>
      <x:c r="J111" t="n">
        <x:v>791.05</x:v>
      </x:c>
      <x:c r="K111" t="n">
        <x:v>530.8</x:v>
      </x:c>
      <x:c r="L111" t="n">
        <x:f>IFERROR(DATEVALUE(D111)-DATEVALUE(B111),"")</x:f>
        <x:v>4</x:v>
      </x:c>
      <x:c r="M111" t="n">
        <x:f>IFERROR(IF(AND(DATEVALUE(D111)&lt;=DATEVALUE(C111),I111=0),1,0),0)</x:f>
        <x:v>1</x:v>
      </x:c>
    </x:row>
    <x:row r="112">
      <x:c r="A112" t="str">
        <x:v>SO0000111</x:v>
      </x:c>
      <x:c r="B112" t="str">
        <x:v>2026-01-30</x:v>
      </x:c>
      <x:c r="C112" t="str">
        <x:v>2026-02-06</x:v>
      </x:c>
      <x:c r="D112" t="str">
        <x:v>2026-02-06</x:v>
      </x:c>
      <x:c r="E112" t="str">
        <x:v>Auckland</x:v>
      </x:c>
      <x:c r="F112" t="str">
        <x:v>Delivered</x:v>
      </x:c>
      <x:c r="G112" t="n">
        <x:v>61</x:v>
      </x:c>
      <x:c r="H112" t="n">
        <x:v>61</x:v>
      </x:c>
      <x:c r="I112" t="n">
        <x:v>0</x:v>
      </x:c>
      <x:c r="J112" t="n">
        <x:v>7963.1</x:v>
      </x:c>
      <x:c r="K112" t="n">
        <x:v>6266.16</x:v>
      </x:c>
      <x:c r="L112" t="n">
        <x:f>IFERROR(DATEVALUE(D112)-DATEVALUE(B112),"")</x:f>
        <x:v>7</x:v>
      </x:c>
      <x:c r="M112" t="n">
        <x:f>IFERROR(IF(AND(DATEVALUE(D112)&lt;=DATEVALUE(C112),I112=0),1,0),0)</x:f>
        <x:v>1</x:v>
      </x:c>
    </x:row>
    <x:row r="113">
      <x:c r="A113" t="str">
        <x:v>SO0000112</x:v>
      </x:c>
      <x:c r="B113" t="str">
        <x:v>2025-06-13</x:v>
      </x:c>
      <x:c r="C113" t="str">
        <x:v>2025-06-24</x:v>
      </x:c>
      <x:c r="D113" t="str">
        <x:v>2025-06-18</x:v>
      </x:c>
      <x:c r="E113" t="str">
        <x:v>Canterbury</x:v>
      </x:c>
      <x:c r="F113" t="str">
        <x:v>Delivered</x:v>
      </x:c>
      <x:c r="G113" t="n">
        <x:v>85</x:v>
      </x:c>
      <x:c r="H113" t="n">
        <x:v>85</x:v>
      </x:c>
      <x:c r="I113" t="n">
        <x:v>0</x:v>
      </x:c>
      <x:c r="J113" t="n">
        <x:v>5066.35</x:v>
      </x:c>
      <x:c r="K113" t="n">
        <x:v>4126.5</x:v>
      </x:c>
      <x:c r="L113" t="n">
        <x:f>IFERROR(DATEVALUE(D113)-DATEVALUE(B113),"")</x:f>
        <x:v>5</x:v>
      </x:c>
      <x:c r="M113" t="n">
        <x:f>IFERROR(IF(AND(DATEVALUE(D113)&lt;=DATEVALUE(C113),I113=0),1,0),0)</x:f>
        <x:v>1</x:v>
      </x:c>
    </x:row>
    <x:row r="114">
      <x:c r="A114" t="str">
        <x:v>SO0000113</x:v>
      </x:c>
      <x:c r="B114" t="str">
        <x:v>2025-07-14</x:v>
      </x:c>
      <x:c r="C114" t="str">
        <x:v>2025-07-21</x:v>
      </x:c>
      <x:c r="D114" t="str">
        <x:v>2025-07-20</x:v>
      </x:c>
      <x:c r="E114" t="str">
        <x:v>Auckland</x:v>
      </x:c>
      <x:c r="F114" t="str">
        <x:v>Delivered</x:v>
      </x:c>
      <x:c r="G114" t="n">
        <x:v>23</x:v>
      </x:c>
      <x:c r="H114" t="n">
        <x:v>23</x:v>
      </x:c>
      <x:c r="I114" t="n">
        <x:v>0</x:v>
      </x:c>
      <x:c r="J114" t="n">
        <x:v>1067.68</x:v>
      </x:c>
      <x:c r="K114" t="n">
        <x:v>691.47</x:v>
      </x:c>
      <x:c r="L114" t="n">
        <x:f>IFERROR(DATEVALUE(D114)-DATEVALUE(B114),"")</x:f>
        <x:v>6</x:v>
      </x:c>
      <x:c r="M114" t="n">
        <x:f>IFERROR(IF(AND(DATEVALUE(D114)&lt;=DATEVALUE(C114),I114=0),1,0),0)</x:f>
        <x:v>1</x:v>
      </x:c>
    </x:row>
    <x:row r="115">
      <x:c r="A115" t="str">
        <x:v>SO0000114</x:v>
      </x:c>
      <x:c r="B115" t="str">
        <x:v>2025-12-28</x:v>
      </x:c>
      <x:c r="C115" t="str">
        <x:v>2026-01-04</x:v>
      </x:c>
      <x:c r="D115" t="str">
        <x:v>2026-01-02</x:v>
      </x:c>
      <x:c r="E115" t="str">
        <x:v>Canterbury</x:v>
      </x:c>
      <x:c r="F115" t="str">
        <x:v>Delivered</x:v>
      </x:c>
      <x:c r="G115" t="n">
        <x:v>3</x:v>
      </x:c>
      <x:c r="H115" t="n">
        <x:v>3</x:v>
      </x:c>
      <x:c r="I115" t="n">
        <x:v>0</x:v>
      </x:c>
      <x:c r="J115" t="n">
        <x:v>155.79</x:v>
      </x:c>
      <x:c r="K115" t="n">
        <x:v>104.82</x:v>
      </x:c>
      <x:c r="L115" t="n">
        <x:f>IFERROR(DATEVALUE(D115)-DATEVALUE(B115),"")</x:f>
        <x:v>5</x:v>
      </x:c>
      <x:c r="M115" t="n">
        <x:f>IFERROR(IF(AND(DATEVALUE(D115)&lt;=DATEVALUE(C115),I115=0),1,0),0)</x:f>
        <x:v>1</x:v>
      </x:c>
    </x:row>
    <x:row r="116">
      <x:c r="A116" t="str">
        <x:v>SO0000115</x:v>
      </x:c>
      <x:c r="B116" t="str">
        <x:v>2025-02-21</x:v>
      </x:c>
      <x:c r="C116" t="str">
        <x:v>2025-02-27</x:v>
      </x:c>
      <x:c r="D116" t="str">
        <x:v>2025-02-28</x:v>
      </x:c>
      <x:c r="E116" t="str">
        <x:v>Bay of Plenty</x:v>
      </x:c>
      <x:c r="F116" t="str">
        <x:v>Delivered</x:v>
      </x:c>
      <x:c r="G116" t="n">
        <x:v>16</x:v>
      </x:c>
      <x:c r="H116" t="n">
        <x:v>16</x:v>
      </x:c>
      <x:c r="I116" t="n">
        <x:v>0</x:v>
      </x:c>
      <x:c r="J116" t="n">
        <x:v>1546.64</x:v>
      </x:c>
      <x:c r="K116" t="n">
        <x:v>1012.96</x:v>
      </x:c>
      <x:c r="L116" t="n">
        <x:f>IFERROR(DATEVALUE(D116)-DATEVALUE(B116),"")</x:f>
        <x:v>7</x:v>
      </x:c>
      <x:c r="M116" t="n">
        <x:f>IFERROR(IF(AND(DATEVALUE(D116)&lt;=DATEVALUE(C116),I116=0),1,0),0)</x:f>
        <x:v>0</x:v>
      </x:c>
    </x:row>
    <x:row r="117">
      <x:c r="A117" t="str">
        <x:v>SO0000116</x:v>
      </x:c>
      <x:c r="B117" t="str">
        <x:v>2024-10-18</x:v>
      </x:c>
      <x:c r="C117" t="str">
        <x:v>2024-10-25</x:v>
      </x:c>
      <x:c r="D117" t="str">
        <x:v>2024-10-24</x:v>
      </x:c>
      <x:c r="E117" t="str">
        <x:v>Canterbury</x:v>
      </x:c>
      <x:c r="F117" t="str">
        <x:v>Delivered</x:v>
      </x:c>
      <x:c r="G117" t="n">
        <x:v>78</x:v>
      </x:c>
      <x:c r="H117" t="n">
        <x:v>78</x:v>
      </x:c>
      <x:c r="I117" t="n">
        <x:v>0</x:v>
      </x:c>
      <x:c r="J117" t="n">
        <x:v>7881</x:v>
      </x:c>
      <x:c r="K117" t="n">
        <x:v>5706.08</x:v>
      </x:c>
      <x:c r="L117" t="n">
        <x:f>IFERROR(DATEVALUE(D117)-DATEVALUE(B117),"")</x:f>
        <x:v>6</x:v>
      </x:c>
      <x:c r="M117" t="n">
        <x:f>IFERROR(IF(AND(DATEVALUE(D117)&lt;=DATEVALUE(C117),I117=0),1,0),0)</x:f>
        <x:v>1</x:v>
      </x:c>
    </x:row>
    <x:row r="118">
      <x:c r="A118" t="str">
        <x:v>SO0000117</x:v>
      </x:c>
      <x:c r="B118" t="str">
        <x:v>2025-12-29</x:v>
      </x:c>
      <x:c r="C118" t="str">
        <x:v>2026-01-06</x:v>
      </x:c>
      <x:c r="D118" t="str">
        <x:v>2026-01-06</x:v>
      </x:c>
      <x:c r="E118" t="str">
        <x:v>Wellington</x:v>
      </x:c>
      <x:c r="F118" t="str">
        <x:v>Partially Delivered</x:v>
      </x:c>
      <x:c r="G118" t="n">
        <x:v>23</x:v>
      </x:c>
      <x:c r="H118" t="n">
        <x:v>20</x:v>
      </x:c>
      <x:c r="I118" t="n">
        <x:v>3</x:v>
      </x:c>
      <x:c r="J118" t="n">
        <x:v>1215.9</x:v>
      </x:c>
      <x:c r="K118" t="n">
        <x:v>836</x:v>
      </x:c>
      <x:c r="L118" t="n">
        <x:f>IFERROR(DATEVALUE(D118)-DATEVALUE(B118),"")</x:f>
        <x:v>8</x:v>
      </x:c>
      <x:c r="M118" t="n">
        <x:f>IFERROR(IF(AND(DATEVALUE(D118)&lt;=DATEVALUE(C118),I118=0),1,0),0)</x:f>
        <x:v>0</x:v>
      </x:c>
    </x:row>
    <x:row r="119">
      <x:c r="A119" t="str">
        <x:v>SO0000118</x:v>
      </x:c>
      <x:c r="B119" t="str">
        <x:v>2025-11-06</x:v>
      </x:c>
      <x:c r="C119" t="str">
        <x:v>2025-11-12</x:v>
      </x:c>
      <x:c r="D119" t="str">
        <x:v>2025-11-12</x:v>
      </x:c>
      <x:c r="E119" t="str">
        <x:v>Bay of Plenty</x:v>
      </x:c>
      <x:c r="F119" t="str">
        <x:v>Delivered</x:v>
      </x:c>
      <x:c r="G119" t="n">
        <x:v>52</x:v>
      </x:c>
      <x:c r="H119" t="n">
        <x:v>52</x:v>
      </x:c>
      <x:c r="I119" t="n">
        <x:v>0</x:v>
      </x:c>
      <x:c r="J119" t="n">
        <x:v>5178.92</x:v>
      </x:c>
      <x:c r="K119" t="n">
        <x:v>3813.95</x:v>
      </x:c>
      <x:c r="L119" t="n">
        <x:f>IFERROR(DATEVALUE(D119)-DATEVALUE(B119),"")</x:f>
        <x:v>6</x:v>
      </x:c>
      <x:c r="M119" t="n">
        <x:f>IFERROR(IF(AND(DATEVALUE(D119)&lt;=DATEVALUE(C119),I119=0),1,0),0)</x:f>
        <x:v>1</x:v>
      </x:c>
    </x:row>
    <x:row r="120">
      <x:c r="A120" t="str">
        <x:v>SO0000119</x:v>
      </x:c>
      <x:c r="B120" t="str">
        <x:v>2025-08-18</x:v>
      </x:c>
      <x:c r="C120" t="str">
        <x:v>2025-08-23</x:v>
      </x:c>
      <x:c r="D120" t="str">
        <x:v>2025-08-24</x:v>
      </x:c>
      <x:c r="E120" t="str">
        <x:v>Wellington</x:v>
      </x:c>
      <x:c r="F120" t="str">
        <x:v>Delivered</x:v>
      </x:c>
      <x:c r="G120" t="n">
        <x:v>45</x:v>
      </x:c>
      <x:c r="H120" t="n">
        <x:v>45</x:v>
      </x:c>
      <x:c r="I120" t="n">
        <x:v>0</x:v>
      </x:c>
      <x:c r="J120" t="n">
        <x:v>5183.55</x:v>
      </x:c>
      <x:c r="K120" t="n">
        <x:v>3580.5</x:v>
      </x:c>
      <x:c r="L120" t="n">
        <x:f>IFERROR(DATEVALUE(D120)-DATEVALUE(B120),"")</x:f>
        <x:v>6</x:v>
      </x:c>
      <x:c r="M120" t="n">
        <x:f>IFERROR(IF(AND(DATEVALUE(D120)&lt;=DATEVALUE(C120),I120=0),1,0),0)</x:f>
        <x:v>0</x:v>
      </x:c>
    </x:row>
    <x:row r="121">
      <x:c r="A121" t="str">
        <x:v>SO0000120</x:v>
      </x:c>
      <x:c r="B121" t="str">
        <x:v>2024-10-22</x:v>
      </x:c>
      <x:c r="C121" t="str">
        <x:v>2024-10-27</x:v>
      </x:c>
      <x:c r="D121" t="str">
        <x:v>2024-10-28</x:v>
      </x:c>
      <x:c r="E121" t="str">
        <x:v>Canterbury</x:v>
      </x:c>
      <x:c r="F121" t="str">
        <x:v>Delivered</x:v>
      </x:c>
      <x:c r="G121" t="n">
        <x:v>23</x:v>
      </x:c>
      <x:c r="H121" t="n">
        <x:v>23</x:v>
      </x:c>
      <x:c r="I121" t="n">
        <x:v>0</x:v>
      </x:c>
      <x:c r="J121" t="n">
        <x:v>1267.34</x:v>
      </x:c>
      <x:c r="K121" t="n">
        <x:v>925.95</x:v>
      </x:c>
      <x:c r="L121" t="n">
        <x:f>IFERROR(DATEVALUE(D121)-DATEVALUE(B121),"")</x:f>
        <x:v>6</x:v>
      </x:c>
      <x:c r="M121" t="n">
        <x:f>IFERROR(IF(AND(DATEVALUE(D121)&lt;=DATEVALUE(C121),I121=0),1,0),0)</x:f>
        <x:v>0</x:v>
      </x:c>
    </x:row>
    <x:row r="122">
      <x:c r="A122" t="str">
        <x:v>SO0000121</x:v>
      </x:c>
      <x:c r="B122" t="str">
        <x:v>2025-12-03</x:v>
      </x:c>
      <x:c r="C122" t="str">
        <x:v>2025-12-12</x:v>
      </x:c>
      <x:c r="D122" t="str">
        <x:v>2025-12-09</x:v>
      </x:c>
      <x:c r="E122" t="str">
        <x:v>Bay of Plenty</x:v>
      </x:c>
      <x:c r="F122" t="str">
        <x:v>Delivered</x:v>
      </x:c>
      <x:c r="G122" t="n">
        <x:v>53</x:v>
      </x:c>
      <x:c r="H122" t="n">
        <x:v>53</x:v>
      </x:c>
      <x:c r="I122" t="n">
        <x:v>0</x:v>
      </x:c>
      <x:c r="J122" t="n">
        <x:v>3268.71</x:v>
      </x:c>
      <x:c r="K122" t="n">
        <x:v>2194.52</x:v>
      </x:c>
      <x:c r="L122" t="n">
        <x:f>IFERROR(DATEVALUE(D122)-DATEVALUE(B122),"")</x:f>
        <x:v>6</x:v>
      </x:c>
      <x:c r="M122" t="n">
        <x:f>IFERROR(IF(AND(DATEVALUE(D122)&lt;=DATEVALUE(C122),I122=0),1,0),0)</x:f>
        <x:v>1</x:v>
      </x:c>
    </x:row>
    <x:row r="123">
      <x:c r="A123" t="str">
        <x:v>SO0000122</x:v>
      </x:c>
      <x:c r="B123" t="str">
        <x:v>2025-09-23</x:v>
      </x:c>
      <x:c r="C123" t="str">
        <x:v>2025-10-01</x:v>
      </x:c>
      <x:c r="D123" t="str">
        <x:v>2025-09-29</x:v>
      </x:c>
      <x:c r="E123" t="str">
        <x:v>Bay of Plenty</x:v>
      </x:c>
      <x:c r="F123" t="str">
        <x:v>Delivered</x:v>
      </x:c>
      <x:c r="G123" t="n">
        <x:v>6</x:v>
      </x:c>
      <x:c r="H123" t="n">
        <x:v>6</x:v>
      </x:c>
      <x:c r="I123" t="n">
        <x:v>0</x:v>
      </x:c>
      <x:c r="J123" t="n">
        <x:v>755.49</x:v>
      </x:c>
      <x:c r="K123" t="n">
        <x:v>598.44</x:v>
      </x:c>
      <x:c r="L123" t="n">
        <x:f>IFERROR(DATEVALUE(D123)-DATEVALUE(B123),"")</x:f>
        <x:v>6</x:v>
      </x:c>
      <x:c r="M123" t="n">
        <x:f>IFERROR(IF(AND(DATEVALUE(D123)&lt;=DATEVALUE(C123),I123=0),1,0),0)</x:f>
        <x:v>1</x:v>
      </x:c>
    </x:row>
    <x:row r="124">
      <x:c r="A124" t="str">
        <x:v>SO0000123</x:v>
      </x:c>
      <x:c r="B124" t="str">
        <x:v>2024-12-13</x:v>
      </x:c>
      <x:c r="C124" t="str">
        <x:v>2024-12-21</x:v>
      </x:c>
      <x:c r="D124" t="str">
        <x:v>2024-12-18</x:v>
      </x:c>
      <x:c r="E124" t="str">
        <x:v>Bay of Plenty</x:v>
      </x:c>
      <x:c r="F124" t="str">
        <x:v>Delivered</x:v>
      </x:c>
      <x:c r="G124" t="n">
        <x:v>45</x:v>
      </x:c>
      <x:c r="H124" t="n">
        <x:v>45</x:v>
      </x:c>
      <x:c r="I124" t="n">
        <x:v>0</x:v>
      </x:c>
      <x:c r="J124" t="n">
        <x:v>7545.45</x:v>
      </x:c>
      <x:c r="K124" t="n">
        <x:v>6002.7</x:v>
      </x:c>
      <x:c r="L124" t="n">
        <x:f>IFERROR(DATEVALUE(D124)-DATEVALUE(B124),"")</x:f>
        <x:v>5</x:v>
      </x:c>
      <x:c r="M124" t="n">
        <x:f>IFERROR(IF(AND(DATEVALUE(D124)&lt;=DATEVALUE(C124),I124=0),1,0),0)</x:f>
        <x:v>1</x:v>
      </x:c>
    </x:row>
    <x:row r="125">
      <x:c r="A125" t="str">
        <x:v>SO0000124</x:v>
      </x:c>
      <x:c r="B125" t="str">
        <x:v>2026-09-11</x:v>
      </x:c>
      <x:c r="C125" t="str">
        <x:v>2026-09-18</x:v>
      </x:c>
      <x:c r="D125" t="str">
        <x:v>2026-09-16</x:v>
      </x:c>
      <x:c r="E125" t="str">
        <x:v>Waikato</x:v>
      </x:c>
      <x:c r="F125" t="str">
        <x:v>Partially Delivered</x:v>
      </x:c>
      <x:c r="G125" t="n">
        <x:v>53</x:v>
      </x:c>
      <x:c r="H125" t="n">
        <x:v>45</x:v>
      </x:c>
      <x:c r="I125" t="n">
        <x:v>8</x:v>
      </x:c>
      <x:c r="J125" t="n">
        <x:v>4913.4</x:v>
      </x:c>
      <x:c r="K125" t="n">
        <x:v>3338.55</x:v>
      </x:c>
      <x:c r="L125" t="n">
        <x:f>IFERROR(DATEVALUE(D125)-DATEVALUE(B125),"")</x:f>
        <x:v>5</x:v>
      </x:c>
      <x:c r="M125" t="n">
        <x:f>IFERROR(IF(AND(DATEVALUE(D125)&lt;=DATEVALUE(C125),I125=0),1,0),0)</x:f>
        <x:v>0</x:v>
      </x:c>
    </x:row>
    <x:row r="126">
      <x:c r="A126" t="str">
        <x:v>SO0000125</x:v>
      </x:c>
      <x:c r="B126" t="str">
        <x:v>2024-10-15</x:v>
      </x:c>
      <x:c r="C126" t="str">
        <x:v>2024-10-25</x:v>
      </x:c>
      <x:c r="D126" t="str">
        <x:v>2024-10-21</x:v>
      </x:c>
      <x:c r="E126" t="str">
        <x:v>Bay of Plenty</x:v>
      </x:c>
      <x:c r="F126" t="str">
        <x:v>Delivered</x:v>
      </x:c>
      <x:c r="G126" t="n">
        <x:v>55</x:v>
      </x:c>
      <x:c r="H126" t="n">
        <x:v>55</x:v>
      </x:c>
      <x:c r="I126" t="n">
        <x:v>0</x:v>
      </x:c>
      <x:c r="J126" t="n">
        <x:v>4755.9</x:v>
      </x:c>
      <x:c r="K126" t="n">
        <x:v>3657.5</x:v>
      </x:c>
      <x:c r="L126" t="n">
        <x:f>IFERROR(DATEVALUE(D126)-DATEVALUE(B126),"")</x:f>
        <x:v>6</x:v>
      </x:c>
      <x:c r="M126" t="n">
        <x:f>IFERROR(IF(AND(DATEVALUE(D126)&lt;=DATEVALUE(C126),I126=0),1,0),0)</x:f>
        <x:v>1</x:v>
      </x:c>
    </x:row>
    <x:row r="127">
      <x:c r="A127" t="str">
        <x:v>SO0000126</x:v>
      </x:c>
      <x:c r="B127" t="str">
        <x:v>2026-04-01</x:v>
      </x:c>
      <x:c r="C127" t="str">
        <x:v>2026-04-06</x:v>
      </x:c>
      <x:c r="D127" t="str">
        <x:v>2026-04-07</x:v>
      </x:c>
      <x:c r="E127" t="str">
        <x:v>Canterbury</x:v>
      </x:c>
      <x:c r="F127" t="str">
        <x:v>Delivered</x:v>
      </x:c>
      <x:c r="G127" t="n">
        <x:v>18</x:v>
      </x:c>
      <x:c r="H127" t="n">
        <x:v>18</x:v>
      </x:c>
      <x:c r="I127" t="n">
        <x:v>0</x:v>
      </x:c>
      <x:c r="J127" t="n">
        <x:v>3296.94</x:v>
      </x:c>
      <x:c r="K127" t="n">
        <x:v>2253.42</x:v>
      </x:c>
      <x:c r="L127" t="n">
        <x:f>IFERROR(DATEVALUE(D127)-DATEVALUE(B127),"")</x:f>
        <x:v>6</x:v>
      </x:c>
      <x:c r="M127" t="n">
        <x:f>IFERROR(IF(AND(DATEVALUE(D127)&lt;=DATEVALUE(C127),I127=0),1,0),0)</x:f>
        <x:v>0</x:v>
      </x:c>
    </x:row>
    <x:row r="128">
      <x:c r="A128" t="str">
        <x:v>SO0000127</x:v>
      </x:c>
      <x:c r="B128" t="str">
        <x:v>2025-10-16</x:v>
      </x:c>
      <x:c r="C128" t="str">
        <x:v>2025-10-25</x:v>
      </x:c>
      <x:c r="D128" t="str">
        <x:v>2025-10-22</x:v>
      </x:c>
      <x:c r="E128" t="str">
        <x:v>Wellington</x:v>
      </x:c>
      <x:c r="F128" t="str">
        <x:v>Delivered</x:v>
      </x:c>
      <x:c r="G128" t="n">
        <x:v>48</x:v>
      </x:c>
      <x:c r="H128" t="n">
        <x:v>48</x:v>
      </x:c>
      <x:c r="I128" t="n">
        <x:v>0</x:v>
      </x:c>
      <x:c r="J128" t="n">
        <x:v>5816.8</x:v>
      </x:c>
      <x:c r="K128" t="n">
        <x:v>4161.7</x:v>
      </x:c>
      <x:c r="L128" t="n">
        <x:f>IFERROR(DATEVALUE(D128)-DATEVALUE(B128),"")</x:f>
        <x:v>6</x:v>
      </x:c>
      <x:c r="M128" t="n">
        <x:f>IFERROR(IF(AND(DATEVALUE(D128)&lt;=DATEVALUE(C128),I128=0),1,0),0)</x:f>
        <x:v>1</x:v>
      </x:c>
    </x:row>
    <x:row r="129">
      <x:c r="A129" t="str">
        <x:v>SO0000128</x:v>
      </x:c>
      <x:c r="B129" t="str">
        <x:v>2025-12-17</x:v>
      </x:c>
      <x:c r="C129" t="str">
        <x:v>2025-12-26</x:v>
      </x:c>
      <x:c r="D129" t="str">
        <x:v>2025-12-22</x:v>
      </x:c>
      <x:c r="E129" t="str">
        <x:v>Bay of Plenty</x:v>
      </x:c>
      <x:c r="F129" t="str">
        <x:v>Partially Delivered</x:v>
      </x:c>
      <x:c r="G129" t="n">
        <x:v>55</x:v>
      </x:c>
      <x:c r="H129" t="n">
        <x:v>45</x:v>
      </x:c>
      <x:c r="I129" t="n">
        <x:v>10</x:v>
      </x:c>
      <x:c r="J129" t="n">
        <x:v>8038.45</x:v>
      </x:c>
      <x:c r="K129" t="n">
        <x:v>5160</x:v>
      </x:c>
      <x:c r="L129" t="n">
        <x:f>IFERROR(DATEVALUE(D129)-DATEVALUE(B129),"")</x:f>
        <x:v>5</x:v>
      </x:c>
      <x:c r="M129" t="n">
        <x:f>IFERROR(IF(AND(DATEVALUE(D129)&lt;=DATEVALUE(C129),I129=0),1,0),0)</x:f>
        <x:v>0</x:v>
      </x:c>
    </x:row>
    <x:row r="130">
      <x:c r="A130" t="str">
        <x:v>SO0000129</x:v>
      </x:c>
      <x:c r="B130" t="str">
        <x:v>2025-08-26</x:v>
      </x:c>
      <x:c r="C130" t="str">
        <x:v>2025-08-31</x:v>
      </x:c>
      <x:c r="D130" t="str">
        <x:v>2025-09-02</x:v>
      </x:c>
      <x:c r="E130" t="str">
        <x:v>Waikato</x:v>
      </x:c>
      <x:c r="F130" t="str">
        <x:v>Delivered</x:v>
      </x:c>
      <x:c r="G130" t="n">
        <x:v>16</x:v>
      </x:c>
      <x:c r="H130" t="n">
        <x:v>16</x:v>
      </x:c>
      <x:c r="I130" t="n">
        <x:v>0</x:v>
      </x:c>
      <x:c r="J130" t="n">
        <x:v>1849.92</x:v>
      </x:c>
      <x:c r="K130" t="n">
        <x:v>1263.28</x:v>
      </x:c>
      <x:c r="L130" t="n">
        <x:f>IFERROR(DATEVALUE(D130)-DATEVALUE(B130),"")</x:f>
        <x:v>7</x:v>
      </x:c>
      <x:c r="M130" t="n">
        <x:f>IFERROR(IF(AND(DATEVALUE(D130)&lt;=DATEVALUE(C130),I130=0),1,0),0)</x:f>
        <x:v>0</x:v>
      </x:c>
    </x:row>
    <x:row r="131">
      <x:c r="A131" t="str">
        <x:v>SO0000130</x:v>
      </x:c>
      <x:c r="B131" t="str">
        <x:v>2026-04-20</x:v>
      </x:c>
      <x:c r="C131" t="str">
        <x:v>2026-04-29</x:v>
      </x:c>
      <x:c r="D131" t="str">
        <x:v>2026-04-30</x:v>
      </x:c>
      <x:c r="E131" t="str">
        <x:v>Auckland</x:v>
      </x:c>
      <x:c r="F131" t="str">
        <x:v>Partially Delivered</x:v>
      </x:c>
      <x:c r="G131" t="n">
        <x:v>39</x:v>
      </x:c>
      <x:c r="H131" t="n">
        <x:v>36</x:v>
      </x:c>
      <x:c r="I131" t="n">
        <x:v>3</x:v>
      </x:c>
      <x:c r="J131" t="n">
        <x:v>6280.4</x:v>
      </x:c>
      <x:c r="K131" t="n">
        <x:v>4141.64</x:v>
      </x:c>
      <x:c r="L131" t="n">
        <x:f>IFERROR(DATEVALUE(D131)-DATEVALUE(B131),"")</x:f>
        <x:v>10</x:v>
      </x:c>
      <x:c r="M131" t="n">
        <x:f>IFERROR(IF(AND(DATEVALUE(D131)&lt;=DATEVALUE(C131),I131=0),1,0),0)</x:f>
        <x:v>0</x:v>
      </x:c>
    </x:row>
    <x:row r="132">
      <x:c r="A132" t="str">
        <x:v>SO0000131</x:v>
      </x:c>
      <x:c r="B132" t="str">
        <x:v>2026-08-26</x:v>
      </x:c>
      <x:c r="C132" t="str">
        <x:v>2026-09-04</x:v>
      </x:c>
      <x:c r="D132" t="str">
        <x:v>2026-08-31</x:v>
      </x:c>
      <x:c r="E132" t="str">
        <x:v>Waikato</x:v>
      </x:c>
      <x:c r="F132" t="str">
        <x:v>Partially Delivered</x:v>
      </x:c>
      <x:c r="G132" t="n">
        <x:v>20</x:v>
      </x:c>
      <x:c r="H132" t="n">
        <x:v>15</x:v>
      </x:c>
      <x:c r="I132" t="n">
        <x:v>5</x:v>
      </x:c>
      <x:c r="J132" t="n">
        <x:v>726.3</x:v>
      </x:c>
      <x:c r="K132" t="n">
        <x:v>551.25</x:v>
      </x:c>
      <x:c r="L132" t="n">
        <x:f>IFERROR(DATEVALUE(D132)-DATEVALUE(B132),"")</x:f>
        <x:v>5</x:v>
      </x:c>
      <x:c r="M132" t="n">
        <x:f>IFERROR(IF(AND(DATEVALUE(D132)&lt;=DATEVALUE(C132),I132=0),1,0),0)</x:f>
        <x:v>0</x:v>
      </x:c>
    </x:row>
    <x:row r="133">
      <x:c r="A133" t="str">
        <x:v>SO0000132</x:v>
      </x:c>
      <x:c r="B133" t="str">
        <x:v>2025-03-28</x:v>
      </x:c>
      <x:c r="C133" t="str">
        <x:v>2025-04-07</x:v>
      </x:c>
      <x:c r="D133" t="str">
        <x:v>2025-04-03</x:v>
      </x:c>
      <x:c r="E133" t="str">
        <x:v>Wellington</x:v>
      </x:c>
      <x:c r="F133" t="str">
        <x:v>Delivered</x:v>
      </x:c>
      <x:c r="G133" t="n">
        <x:v>60</x:v>
      </x:c>
      <x:c r="H133" t="n">
        <x:v>60</x:v>
      </x:c>
      <x:c r="I133" t="n">
        <x:v>0</x:v>
      </x:c>
      <x:c r="J133" t="n">
        <x:v>7243.6</x:v>
      </x:c>
      <x:c r="K133" t="n">
        <x:v>4804.8</x:v>
      </x:c>
      <x:c r="L133" t="n">
        <x:f>IFERROR(DATEVALUE(D133)-DATEVALUE(B133),"")</x:f>
        <x:v>6</x:v>
      </x:c>
      <x:c r="M133" t="n">
        <x:f>IFERROR(IF(AND(DATEVALUE(D133)&lt;=DATEVALUE(C133),I133=0),1,0),0)</x:f>
        <x:v>1</x:v>
      </x:c>
    </x:row>
    <x:row r="134">
      <x:c r="A134" t="str">
        <x:v>SO0000133</x:v>
      </x:c>
      <x:c r="B134" t="str">
        <x:v>2026-07-12</x:v>
      </x:c>
      <x:c r="C134" t="str">
        <x:v>2026-07-19</x:v>
      </x:c>
      <x:c r="D134" t="str">
        <x:v>2026-07-16</x:v>
      </x:c>
      <x:c r="E134" t="str">
        <x:v>Auckland</x:v>
      </x:c>
      <x:c r="F134" t="str">
        <x:v>Partially Delivered</x:v>
      </x:c>
      <x:c r="G134" t="n">
        <x:v>23</x:v>
      </x:c>
      <x:c r="H134" t="n">
        <x:v>3</x:v>
      </x:c>
      <x:c r="I134" t="n">
        <x:v>20</x:v>
      </x:c>
      <x:c r="J134" t="n">
        <x:v>401.01</x:v>
      </x:c>
      <x:c r="K134" t="n">
        <x:v>324.81</x:v>
      </x:c>
      <x:c r="L134" t="n">
        <x:f>IFERROR(DATEVALUE(D134)-DATEVALUE(B134),"")</x:f>
        <x:v>4</x:v>
      </x:c>
      <x:c r="M134" t="n">
        <x:f>IFERROR(IF(AND(DATEVALUE(D134)&lt;=DATEVALUE(C134),I134=0),1,0),0)</x:f>
        <x:v>0</x:v>
      </x:c>
    </x:row>
    <x:row r="135">
      <x:c r="A135" t="str">
        <x:v>SO0000134</x:v>
      </x:c>
      <x:c r="B135" t="str">
        <x:v>2025-11-04</x:v>
      </x:c>
      <x:c r="C135" t="str">
        <x:v>2025-11-10</x:v>
      </x:c>
      <x:c r="D135" t="str">
        <x:v>2025-11-09</x:v>
      </x:c>
      <x:c r="E135" t="str">
        <x:v>Canterbury</x:v>
      </x:c>
      <x:c r="F135" t="str">
        <x:v>Delivered</x:v>
      </x:c>
      <x:c r="G135" t="n">
        <x:v>5</x:v>
      </x:c>
      <x:c r="H135" t="n">
        <x:v>5</x:v>
      </x:c>
      <x:c r="I135" t="n">
        <x:v>0</x:v>
      </x:c>
      <x:c r="J135" t="n">
        <x:v>615.85</x:v>
      </x:c>
      <x:c r="K135" t="n">
        <x:v>457.85</x:v>
      </x:c>
      <x:c r="L135" t="n">
        <x:f>IFERROR(DATEVALUE(D135)-DATEVALUE(B135),"")</x:f>
        <x:v>5</x:v>
      </x:c>
      <x:c r="M135" t="n">
        <x:f>IFERROR(IF(AND(DATEVALUE(D135)&lt;=DATEVALUE(C135),I135=0),1,0),0)</x:f>
        <x:v>1</x:v>
      </x:c>
    </x:row>
    <x:row r="136">
      <x:c r="A136" t="str">
        <x:v>SO0000135</x:v>
      </x:c>
      <x:c r="B136" t="str">
        <x:v>2025-08-16</x:v>
      </x:c>
      <x:c r="C136" t="str">
        <x:v>2025-08-23</x:v>
      </x:c>
      <x:c r="D136" t="str">
        <x:v>2025-08-19</x:v>
      </x:c>
      <x:c r="E136" t="str">
        <x:v>Wellington</x:v>
      </x:c>
      <x:c r="F136" t="str">
        <x:v>Delivered</x:v>
      </x:c>
      <x:c r="G136" t="n">
        <x:v>23</x:v>
      </x:c>
      <x:c r="H136" t="n">
        <x:v>23</x:v>
      </x:c>
      <x:c r="I136" t="n">
        <x:v>0</x:v>
      </x:c>
      <x:c r="J136" t="n">
        <x:v>3584.98</x:v>
      </x:c>
      <x:c r="K136" t="n">
        <x:v>2588.02</x:v>
      </x:c>
      <x:c r="L136" t="n">
        <x:f>IFERROR(DATEVALUE(D136)-DATEVALUE(B136),"")</x:f>
        <x:v>3</x:v>
      </x:c>
      <x:c r="M136" t="n">
        <x:f>IFERROR(IF(AND(DATEVALUE(D136)&lt;=DATEVALUE(C136),I136=0),1,0),0)</x:f>
        <x:v>1</x:v>
      </x:c>
    </x:row>
    <x:row r="137">
      <x:c r="A137" t="str">
        <x:v>SO0000136</x:v>
      </x:c>
      <x:c r="B137" t="str">
        <x:v>2025-09-29</x:v>
      </x:c>
      <x:c r="C137" t="str">
        <x:v>2025-10-10</x:v>
      </x:c>
      <x:c r="D137" t="str">
        <x:v>2025-10-01</x:v>
      </x:c>
      <x:c r="E137" t="str">
        <x:v>Wellington</x:v>
      </x:c>
      <x:c r="F137" t="str">
        <x:v>Partially Delivered</x:v>
      </x:c>
      <x:c r="G137" t="n">
        <x:v>55</x:v>
      </x:c>
      <x:c r="H137" t="n">
        <x:v>45</x:v>
      </x:c>
      <x:c r="I137" t="n">
        <x:v>10</x:v>
      </x:c>
      <x:c r="J137" t="n">
        <x:v>2832.6</x:v>
      </x:c>
      <x:c r="K137" t="n">
        <x:v>2263.95</x:v>
      </x:c>
      <x:c r="L137" t="n">
        <x:f>IFERROR(DATEVALUE(D137)-DATEVALUE(B137),"")</x:f>
        <x:v>2</x:v>
      </x:c>
      <x:c r="M137" t="n">
        <x:f>IFERROR(IF(AND(DATEVALUE(D137)&lt;=DATEVALUE(C137),I137=0),1,0),0)</x:f>
        <x:v>0</x:v>
      </x:c>
    </x:row>
    <x:row r="138">
      <x:c r="A138" t="str">
        <x:v>SO0000137</x:v>
      </x:c>
      <x:c r="B138" t="str">
        <x:v>2026-08-27</x:v>
      </x:c>
      <x:c r="C138" t="str">
        <x:v>2026-09-01</x:v>
      </x:c>
      <x:c r="D138" t="str">
        <x:v>2026-08-30</x:v>
      </x:c>
      <x:c r="E138" t="str">
        <x:v>Waikato</x:v>
      </x:c>
      <x:c r="F138" t="str">
        <x:v>Delivered</x:v>
      </x:c>
      <x:c r="G138" t="n">
        <x:v>38</x:v>
      </x:c>
      <x:c r="H138" t="n">
        <x:v>38</x:v>
      </x:c>
      <x:c r="I138" t="n">
        <x:v>0</x:v>
      </x:c>
      <x:c r="J138" t="n">
        <x:v>3561.28</x:v>
      </x:c>
      <x:c r="K138" t="n">
        <x:v>2593.8</x:v>
      </x:c>
      <x:c r="L138" t="n">
        <x:f>IFERROR(DATEVALUE(D138)-DATEVALUE(B138),"")</x:f>
        <x:v>3</x:v>
      </x:c>
      <x:c r="M138" t="n">
        <x:f>IFERROR(IF(AND(DATEVALUE(D138)&lt;=DATEVALUE(C138),I138=0),1,0),0)</x:f>
        <x:v>1</x:v>
      </x:c>
    </x:row>
    <x:row r="139">
      <x:c r="A139" t="str">
        <x:v>SO0000138</x:v>
      </x:c>
      <x:c r="B139" t="str">
        <x:v>2024-11-19</x:v>
      </x:c>
      <x:c r="C139" t="str">
        <x:v>2024-11-28</x:v>
      </x:c>
      <x:c r="D139" t="str">
        <x:v>2024-11-26</x:v>
      </x:c>
      <x:c r="E139" t="str">
        <x:v>Canterbury</x:v>
      </x:c>
      <x:c r="F139" t="str">
        <x:v>Delivered</x:v>
      </x:c>
      <x:c r="G139" t="n">
        <x:v>25</x:v>
      </x:c>
      <x:c r="H139" t="n">
        <x:v>25</x:v>
      </x:c>
      <x:c r="I139" t="n">
        <x:v>0</x:v>
      </x:c>
      <x:c r="J139" t="n">
        <x:v>3644.9</x:v>
      </x:c>
      <x:c r="K139" t="n">
        <x:v>2725.75</x:v>
      </x:c>
      <x:c r="L139" t="n">
        <x:f>IFERROR(DATEVALUE(D139)-DATEVALUE(B139),"")</x:f>
        <x:v>7</x:v>
      </x:c>
      <x:c r="M139" t="n">
        <x:f>IFERROR(IF(AND(DATEVALUE(D139)&lt;=DATEVALUE(C139),I139=0),1,0),0)</x:f>
        <x:v>1</x:v>
      </x:c>
    </x:row>
    <x:row r="140">
      <x:c r="A140" t="str">
        <x:v>SO0000139</x:v>
      </x:c>
      <x:c r="B140" t="str">
        <x:v>2026-03-24</x:v>
      </x:c>
      <x:c r="C140" t="str">
        <x:v>2026-03-31</x:v>
      </x:c>
      <x:c r="D140" t="str">
        <x:v>2026-03-30</x:v>
      </x:c>
      <x:c r="E140" t="str">
        <x:v>Canterbury</x:v>
      </x:c>
      <x:c r="F140" t="str">
        <x:v>Delivered</x:v>
      </x:c>
      <x:c r="G140" t="n">
        <x:v>20</x:v>
      </x:c>
      <x:c r="H140" t="n">
        <x:v>20</x:v>
      </x:c>
      <x:c r="I140" t="n">
        <x:v>0</x:v>
      </x:c>
      <x:c r="J140" t="n">
        <x:v>3294.8</x:v>
      </x:c>
      <x:c r="K140" t="n">
        <x:v>2463.8</x:v>
      </x:c>
      <x:c r="L140" t="n">
        <x:f>IFERROR(DATEVALUE(D140)-DATEVALUE(B140),"")</x:f>
        <x:v>6</x:v>
      </x:c>
      <x:c r="M140" t="n">
        <x:f>IFERROR(IF(AND(DATEVALUE(D140)&lt;=DATEVALUE(C140),I140=0),1,0),0)</x:f>
        <x:v>1</x:v>
      </x:c>
    </x:row>
    <x:row r="141">
      <x:c r="A141" t="str">
        <x:v>SO0000140</x:v>
      </x:c>
      <x:c r="B141" t="str">
        <x:v>2026-04-01</x:v>
      </x:c>
      <x:c r="C141" t="str">
        <x:v>2026-04-07</x:v>
      </x:c>
      <x:c r="D141" t="str">
        <x:v>2026-04-04</x:v>
      </x:c>
      <x:c r="E141" t="str">
        <x:v>Auckland</x:v>
      </x:c>
      <x:c r="F141" t="str">
        <x:v>Delivered</x:v>
      </x:c>
      <x:c r="G141" t="n">
        <x:v>13</x:v>
      </x:c>
      <x:c r="H141" t="n">
        <x:v>13</x:v>
      </x:c>
      <x:c r="I141" t="n">
        <x:v>0</x:v>
      </x:c>
      <x:c r="J141" t="n">
        <x:v>716.83</x:v>
      </x:c>
      <x:c r="K141" t="n">
        <x:v>496.01</x:v>
      </x:c>
      <x:c r="L141" t="n">
        <x:f>IFERROR(DATEVALUE(D141)-DATEVALUE(B141),"")</x:f>
        <x:v>3</x:v>
      </x:c>
      <x:c r="M141" t="n">
        <x:f>IFERROR(IF(AND(DATEVALUE(D141)&lt;=DATEVALUE(C141),I141=0),1,0),0)</x:f>
        <x:v>1</x:v>
      </x:c>
    </x:row>
    <x:row r="142">
      <x:c r="A142" t="str">
        <x:v>SO0000141</x:v>
      </x:c>
      <x:c r="B142" t="str">
        <x:v>2024-12-09</x:v>
      </x:c>
      <x:c r="C142" t="str">
        <x:v>2024-12-19</x:v>
      </x:c>
      <x:c r="D142" t="str">
        <x:v>2024-12-13</x:v>
      </x:c>
      <x:c r="E142" t="str">
        <x:v>Bay of Plenty</x:v>
      </x:c>
      <x:c r="F142" t="str">
        <x:v>Delivered</x:v>
      </x:c>
      <x:c r="G142" t="n">
        <x:v>16</x:v>
      </x:c>
      <x:c r="H142" t="n">
        <x:v>16</x:v>
      </x:c>
      <x:c r="I142" t="n">
        <x:v>0</x:v>
      </x:c>
      <x:c r="J142" t="n">
        <x:v>1634.16</x:v>
      </x:c>
      <x:c r="K142" t="n">
        <x:v>1141.2</x:v>
      </x:c>
      <x:c r="L142" t="n">
        <x:f>IFERROR(DATEVALUE(D142)-DATEVALUE(B142),"")</x:f>
        <x:v>4</x:v>
      </x:c>
      <x:c r="M142" t="n">
        <x:f>IFERROR(IF(AND(DATEVALUE(D142)&lt;=DATEVALUE(C142),I142=0),1,0),0)</x:f>
        <x:v>1</x:v>
      </x:c>
    </x:row>
    <x:row r="143">
      <x:c r="A143" t="str">
        <x:v>SO0000142</x:v>
      </x:c>
      <x:c r="B143" t="str">
        <x:v>2024-11-25</x:v>
      </x:c>
      <x:c r="C143" t="str">
        <x:v>2024-12-02</x:v>
      </x:c>
      <x:c r="D143" t="str">
        <x:v>2024-12-03</x:v>
      </x:c>
      <x:c r="E143" t="str">
        <x:v>Bay of Plenty</x:v>
      </x:c>
      <x:c r="F143" t="str">
        <x:v>Delivered</x:v>
      </x:c>
      <x:c r="G143" t="n">
        <x:v>18</x:v>
      </x:c>
      <x:c r="H143" t="n">
        <x:v>18</x:v>
      </x:c>
      <x:c r="I143" t="n">
        <x:v>0</x:v>
      </x:c>
      <x:c r="J143" t="n">
        <x:v>935.88</x:v>
      </x:c>
      <x:c r="K143" t="n">
        <x:v>660.66</x:v>
      </x:c>
      <x:c r="L143" t="n">
        <x:f>IFERROR(DATEVALUE(D143)-DATEVALUE(B143),"")</x:f>
        <x:v>8</x:v>
      </x:c>
      <x:c r="M143" t="n">
        <x:f>IFERROR(IF(AND(DATEVALUE(D143)&lt;=DATEVALUE(C143),I143=0),1,0),0)</x:f>
        <x:v>0</x:v>
      </x:c>
    </x:row>
    <x:row r="144">
      <x:c r="A144" t="str">
        <x:v>SO0000143</x:v>
      </x:c>
      <x:c r="B144" t="str">
        <x:v>2025-03-07</x:v>
      </x:c>
      <x:c r="C144" t="str">
        <x:v>2025-03-14</x:v>
      </x:c>
      <x:c r="D144" t="str">
        <x:v>2025-03-13</x:v>
      </x:c>
      <x:c r="E144" t="str">
        <x:v>Waikato</x:v>
      </x:c>
      <x:c r="F144" t="str">
        <x:v>Delivered</x:v>
      </x:c>
      <x:c r="G144" t="n">
        <x:v>13</x:v>
      </x:c>
      <x:c r="H144" t="n">
        <x:v>13</x:v>
      </x:c>
      <x:c r="I144" t="n">
        <x:v>0</x:v>
      </x:c>
      <x:c r="J144" t="n">
        <x:v>1762.39</x:v>
      </x:c>
      <x:c r="K144" t="n">
        <x:v>1203.38</x:v>
      </x:c>
      <x:c r="L144" t="n">
        <x:f>IFERROR(DATEVALUE(D144)-DATEVALUE(B144),"")</x:f>
        <x:v>6</x:v>
      </x:c>
      <x:c r="M144" t="n">
        <x:f>IFERROR(IF(AND(DATEVALUE(D144)&lt;=DATEVALUE(C144),I144=0),1,0),0)</x:f>
        <x:v>1</x:v>
      </x:c>
    </x:row>
    <x:row r="145">
      <x:c r="A145" t="str">
        <x:v>SO0000144</x:v>
      </x:c>
      <x:c r="B145" t="str">
        <x:v>2025-05-09</x:v>
      </x:c>
      <x:c r="C145" t="str">
        <x:v>2025-05-18</x:v>
      </x:c>
      <x:c r="D145" t="str">
        <x:v>2025-05-14</x:v>
      </x:c>
      <x:c r="E145" t="str">
        <x:v>Wellington</x:v>
      </x:c>
      <x:c r="F145" t="str">
        <x:v>Partially Delivered</x:v>
      </x:c>
      <x:c r="G145" t="n">
        <x:v>36</x:v>
      </x:c>
      <x:c r="H145" t="n">
        <x:v>16</x:v>
      </x:c>
      <x:c r="I145" t="n">
        <x:v>20</x:v>
      </x:c>
      <x:c r="J145" t="n">
        <x:v>481.12</x:v>
      </x:c>
      <x:c r="K145" t="n">
        <x:v>374.03</x:v>
      </x:c>
      <x:c r="L145" t="n">
        <x:f>IFERROR(DATEVALUE(D145)-DATEVALUE(B145),"")</x:f>
        <x:v>5</x:v>
      </x:c>
      <x:c r="M145" t="n">
        <x:f>IFERROR(IF(AND(DATEVALUE(D145)&lt;=DATEVALUE(C145),I145=0),1,0),0)</x:f>
        <x:v>0</x:v>
      </x:c>
    </x:row>
    <x:row r="146">
      <x:c r="A146" t="str">
        <x:v>SO0000145</x:v>
      </x:c>
      <x:c r="B146" t="str">
        <x:v>2026-06-08</x:v>
      </x:c>
      <x:c r="C146" t="str">
        <x:v>2026-06-18</x:v>
      </x:c>
      <x:c r="D146" t="str">
        <x:v>2026-06-13</x:v>
      </x:c>
      <x:c r="E146" t="str">
        <x:v>Wellington</x:v>
      </x:c>
      <x:c r="F146" t="str">
        <x:v>Partially Delivered</x:v>
      </x:c>
      <x:c r="G146" t="n">
        <x:v>7</x:v>
      </x:c>
      <x:c r="H146" t="n">
        <x:v>6</x:v>
      </x:c>
      <x:c r="I146" t="n">
        <x:v>1</x:v>
      </x:c>
      <x:c r="J146" t="n">
        <x:v>929.76</x:v>
      </x:c>
      <x:c r="K146" t="n">
        <x:v>625.47</x:v>
      </x:c>
      <x:c r="L146" t="n">
        <x:f>IFERROR(DATEVALUE(D146)-DATEVALUE(B146),"")</x:f>
        <x:v>5</x:v>
      </x:c>
      <x:c r="M146" t="n">
        <x:f>IFERROR(IF(AND(DATEVALUE(D146)&lt;=DATEVALUE(C146),I146=0),1,0),0)</x:f>
        <x:v>0</x:v>
      </x:c>
    </x:row>
    <x:row r="147">
      <x:c r="A147" t="str">
        <x:v>SO0000146</x:v>
      </x:c>
      <x:c r="B147" t="str">
        <x:v>2026-01-22</x:v>
      </x:c>
      <x:c r="C147" t="str">
        <x:v>2026-02-01</x:v>
      </x:c>
      <x:c r="D147" t="str">
        <x:v>2026-01-24</x:v>
      </x:c>
      <x:c r="E147" t="str">
        <x:v>Wellington</x:v>
      </x:c>
      <x:c r="F147" t="str">
        <x:v>Partially Delivered</x:v>
      </x:c>
      <x:c r="G147" t="n">
        <x:v>43</x:v>
      </x:c>
      <x:c r="H147" t="n">
        <x:v>3</x:v>
      </x:c>
      <x:c r="I147" t="n">
        <x:v>40</x:v>
      </x:c>
      <x:c r="J147" t="n">
        <x:v>21.72</x:v>
      </x:c>
      <x:c r="K147" t="n">
        <x:v>15.33</x:v>
      </x:c>
      <x:c r="L147" t="n">
        <x:f>IFERROR(DATEVALUE(D147)-DATEVALUE(B147),"")</x:f>
        <x:v>2</x:v>
      </x:c>
      <x:c r="M147" t="n">
        <x:f>IFERROR(IF(AND(DATEVALUE(D147)&lt;=DATEVALUE(C147),I147=0),1,0),0)</x:f>
        <x:v>0</x:v>
      </x:c>
    </x:row>
    <x:row r="148">
      <x:c r="A148" t="str">
        <x:v>SO0000147</x:v>
      </x:c>
      <x:c r="B148" t="str">
        <x:v>2025-04-10</x:v>
      </x:c>
      <x:c r="C148" t="str">
        <x:v>2025-04-16</x:v>
      </x:c>
      <x:c r="D148" t="str">
        <x:v>2025-04-13</x:v>
      </x:c>
      <x:c r="E148" t="str">
        <x:v>Wellington</x:v>
      </x:c>
      <x:c r="F148" t="str">
        <x:v>Delivered</x:v>
      </x:c>
      <x:c r="G148" t="n">
        <x:v>5</x:v>
      </x:c>
      <x:c r="H148" t="n">
        <x:v>5</x:v>
      </x:c>
      <x:c r="I148" t="n">
        <x:v>0</x:v>
      </x:c>
      <x:c r="J148" t="n">
        <x:v>85.15</x:v>
      </x:c>
      <x:c r="K148" t="n">
        <x:v>67.85</x:v>
      </x:c>
      <x:c r="L148" t="n">
        <x:f>IFERROR(DATEVALUE(D148)-DATEVALUE(B148),"")</x:f>
        <x:v>3</x:v>
      </x:c>
      <x:c r="M148" t="n">
        <x:f>IFERROR(IF(AND(DATEVALUE(D148)&lt;=DATEVALUE(C148),I148=0),1,0),0)</x:f>
        <x:v>1</x:v>
      </x:c>
    </x:row>
    <x:row r="149">
      <x:c r="A149" t="str">
        <x:v>SO0000148</x:v>
      </x:c>
      <x:c r="B149" t="str">
        <x:v>2025-12-07</x:v>
      </x:c>
      <x:c r="C149" t="str">
        <x:v>2025-12-13</x:v>
      </x:c>
      <x:c r="D149" t="str">
        <x:v>2025-12-13</x:v>
      </x:c>
      <x:c r="E149" t="str">
        <x:v>Wellington</x:v>
      </x:c>
      <x:c r="F149" t="str">
        <x:v>Delivered</x:v>
      </x:c>
      <x:c r="G149" t="n">
        <x:v>66</x:v>
      </x:c>
      <x:c r="H149" t="n">
        <x:v>66</x:v>
      </x:c>
      <x:c r="I149" t="n">
        <x:v>0</x:v>
      </x:c>
      <x:c r="J149" t="n">
        <x:v>7532.22</x:v>
      </x:c>
      <x:c r="K149" t="n">
        <x:v>5700.84</x:v>
      </x:c>
      <x:c r="L149" t="n">
        <x:f>IFERROR(DATEVALUE(D149)-DATEVALUE(B149),"")</x:f>
        <x:v>6</x:v>
      </x:c>
      <x:c r="M149" t="n">
        <x:f>IFERROR(IF(AND(DATEVALUE(D149)&lt;=DATEVALUE(C149),I149=0),1,0),0)</x:f>
        <x:v>1</x:v>
      </x:c>
    </x:row>
    <x:row r="150">
      <x:c r="A150" t="str">
        <x:v>SO0000149</x:v>
      </x:c>
      <x:c r="B150" t="str">
        <x:v>2025-02-05</x:v>
      </x:c>
      <x:c r="C150" t="str">
        <x:v>2025-02-15</x:v>
      </x:c>
      <x:c r="D150" t="str">
        <x:v>2025-02-12</x:v>
      </x:c>
      <x:c r="E150" t="str">
        <x:v>Wellington</x:v>
      </x:c>
      <x:c r="F150" t="str">
        <x:v>Delivered</x:v>
      </x:c>
      <x:c r="G150" t="n">
        <x:v>45</x:v>
      </x:c>
      <x:c r="H150" t="n">
        <x:v>45</x:v>
      </x:c>
      <x:c r="I150" t="n">
        <x:v>0</x:v>
      </x:c>
      <x:c r="J150" t="n">
        <x:v>5844.75</x:v>
      </x:c>
      <x:c r="K150" t="n">
        <x:v>4046.35</x:v>
      </x:c>
      <x:c r="L150" t="n">
        <x:f>IFERROR(DATEVALUE(D150)-DATEVALUE(B150),"")</x:f>
        <x:v>7</x:v>
      </x:c>
      <x:c r="M150" t="n">
        <x:f>IFERROR(IF(AND(DATEVALUE(D150)&lt;=DATEVALUE(C150),I150=0),1,0),0)</x:f>
        <x:v>1</x:v>
      </x:c>
    </x:row>
    <x:row r="151">
      <x:c r="A151" t="str">
        <x:v>SO0000150</x:v>
      </x:c>
      <x:c r="B151" t="str">
        <x:v>2025-05-22</x:v>
      </x:c>
      <x:c r="C151" t="str">
        <x:v>2025-05-27</x:v>
      </x:c>
      <x:c r="D151" t="str">
        <x:v>2025-05-29</x:v>
      </x:c>
      <x:c r="E151" t="str">
        <x:v>Bay of Plenty</x:v>
      </x:c>
      <x:c r="F151" t="str">
        <x:v>Delivered</x:v>
      </x:c>
      <x:c r="G151" t="n">
        <x:v>65</x:v>
      </x:c>
      <x:c r="H151" t="n">
        <x:v>65</x:v>
      </x:c>
      <x:c r="I151" t="n">
        <x:v>0</x:v>
      </x:c>
      <x:c r="J151" t="n">
        <x:v>6206.8</x:v>
      </x:c>
      <x:c r="K151" t="n">
        <x:v>4325.5</x:v>
      </x:c>
      <x:c r="L151" t="n">
        <x:f>IFERROR(DATEVALUE(D151)-DATEVALUE(B151),"")</x:f>
        <x:v>7</x:v>
      </x:c>
      <x:c r="M151" t="n">
        <x:f>IFERROR(IF(AND(DATEVALUE(D151)&lt;=DATEVALUE(C151),I151=0),1,0),0)</x:f>
        <x:v>0</x:v>
      </x:c>
    </x:row>
    <x:row r="152">
      <x:c r="A152" t="str">
        <x:v>SO0000151</x:v>
      </x:c>
      <x:c r="B152" t="str">
        <x:v>2024-12-20</x:v>
      </x:c>
      <x:c r="C152" t="str">
        <x:v>2024-12-28</x:v>
      </x:c>
      <x:c r="D152"/>
      <x:c r="E152" t="str">
        <x:v>Canterbury</x:v>
      </x:c>
      <x:c r="F152" t="str">
        <x:v>Open</x:v>
      </x:c>
      <x:c r="G152" t="n">
        <x:v>1</x:v>
      </x:c>
      <x:c r="H152" t="n">
        <x:v>0</x:v>
      </x:c>
      <x:c r="I152" t="n">
        <x:v>1</x:v>
      </x:c>
      <x:c r="J152" t="str">
        <x:v>0.0</x:v>
      </x:c>
      <x:c r="K152" t="str">
        <x:v>0.0</x:v>
      </x:c>
      <x:c r="L152" t="str">
        <x:f>IFERROR(DATEVALUE(D152)-DATEVALUE(B152),"")</x:f>
      </x:c>
      <x:c r="M152" t="n">
        <x:f>IFERROR(IF(AND(DATEVALUE(D152)&lt;=DATEVALUE(C152),I152=0),1,0),0)</x:f>
        <x:v>0</x:v>
      </x:c>
    </x:row>
    <x:row r="153">
      <x:c r="A153" t="str">
        <x:v>SO0000152</x:v>
      </x:c>
      <x:c r="B153" t="str">
        <x:v>2025-02-25</x:v>
      </x:c>
      <x:c r="C153" t="str">
        <x:v>2025-03-07</x:v>
      </x:c>
      <x:c r="D153" t="str">
        <x:v>2025-03-04</x:v>
      </x:c>
      <x:c r="E153" t="str">
        <x:v>Auckland</x:v>
      </x:c>
      <x:c r="F153" t="str">
        <x:v>Delivered</x:v>
      </x:c>
      <x:c r="G153" t="n">
        <x:v>60</x:v>
      </x:c>
      <x:c r="H153" t="n">
        <x:v>60</x:v>
      </x:c>
      <x:c r="I153" t="n">
        <x:v>0</x:v>
      </x:c>
      <x:c r="J153" t="n">
        <x:v>4717.55</x:v>
      </x:c>
      <x:c r="K153" t="n">
        <x:v>3328.05</x:v>
      </x:c>
      <x:c r="L153" t="n">
        <x:f>IFERROR(DATEVALUE(D153)-DATEVALUE(B153),"")</x:f>
        <x:v>7</x:v>
      </x:c>
      <x:c r="M153" t="n">
        <x:f>IFERROR(IF(AND(DATEVALUE(D153)&lt;=DATEVALUE(C153),I153=0),1,0),0)</x:f>
        <x:v>1</x:v>
      </x:c>
    </x:row>
    <x:row r="154">
      <x:c r="A154" t="str">
        <x:v>SO0000153</x:v>
      </x:c>
      <x:c r="B154" t="str">
        <x:v>2026-08-09</x:v>
      </x:c>
      <x:c r="C154" t="str">
        <x:v>2026-08-17</x:v>
      </x:c>
      <x:c r="D154" t="str">
        <x:v>2026-08-18</x:v>
      </x:c>
      <x:c r="E154" t="str">
        <x:v>Canterbury</x:v>
      </x:c>
      <x:c r="F154" t="str">
        <x:v>Delivered</x:v>
      </x:c>
      <x:c r="G154" t="n">
        <x:v>58</x:v>
      </x:c>
      <x:c r="H154" t="n">
        <x:v>58</x:v>
      </x:c>
      <x:c r="I154" t="n">
        <x:v>0</x:v>
      </x:c>
      <x:c r="J154" t="n">
        <x:v>4876.86</x:v>
      </x:c>
      <x:c r="K154" t="n">
        <x:v>3529.42</x:v>
      </x:c>
      <x:c r="L154" t="n">
        <x:f>IFERROR(DATEVALUE(D154)-DATEVALUE(B154),"")</x:f>
        <x:v>9</x:v>
      </x:c>
      <x:c r="M154" t="n">
        <x:f>IFERROR(IF(AND(DATEVALUE(D154)&lt;=DATEVALUE(C154),I154=0),1,0),0)</x:f>
        <x:v>0</x:v>
      </x:c>
    </x:row>
    <x:row r="155">
      <x:c r="A155" t="str">
        <x:v>SO0000154</x:v>
      </x:c>
      <x:c r="B155" t="str">
        <x:v>2026-08-14</x:v>
      </x:c>
      <x:c r="C155" t="str">
        <x:v>2026-08-25</x:v>
      </x:c>
      <x:c r="D155" t="str">
        <x:v>2026-08-22</x:v>
      </x:c>
      <x:c r="E155" t="str">
        <x:v>Bay of Plenty</x:v>
      </x:c>
      <x:c r="F155" t="str">
        <x:v>Partially Delivered</x:v>
      </x:c>
      <x:c r="G155" t="n">
        <x:v>78</x:v>
      </x:c>
      <x:c r="H155" t="n">
        <x:v>18</x:v>
      </x:c>
      <x:c r="I155" t="n">
        <x:v>60</x:v>
      </x:c>
      <x:c r="J155" t="n">
        <x:v>3532.88</x:v>
      </x:c>
      <x:c r="K155" t="n">
        <x:v>2463.08</x:v>
      </x:c>
      <x:c r="L155" t="n">
        <x:f>IFERROR(DATEVALUE(D155)-DATEVALUE(B155),"")</x:f>
        <x:v>8</x:v>
      </x:c>
      <x:c r="M155" t="n">
        <x:f>IFERROR(IF(AND(DATEVALUE(D155)&lt;=DATEVALUE(C155),I155=0),1,0),0)</x:f>
        <x:v>0</x:v>
      </x:c>
    </x:row>
    <x:row r="156">
      <x:c r="A156" t="str">
        <x:v>SO0000155</x:v>
      </x:c>
      <x:c r="B156" t="str">
        <x:v>2025-04-14</x:v>
      </x:c>
      <x:c r="C156" t="str">
        <x:v>2025-04-22</x:v>
      </x:c>
      <x:c r="D156" t="str">
        <x:v>2025-04-16</x:v>
      </x:c>
      <x:c r="E156" t="str">
        <x:v>Canterbury</x:v>
      </x:c>
      <x:c r="F156" t="str">
        <x:v>Partially Delivered</x:v>
      </x:c>
      <x:c r="G156" t="n">
        <x:v>63</x:v>
      </x:c>
      <x:c r="H156" t="n">
        <x:v>33</x:v>
      </x:c>
      <x:c r="I156" t="n">
        <x:v>30</x:v>
      </x:c>
      <x:c r="J156" t="n">
        <x:v>2277.84</x:v>
      </x:c>
      <x:c r="K156" t="n">
        <x:v>1557.48</x:v>
      </x:c>
      <x:c r="L156" t="n">
        <x:f>IFERROR(DATEVALUE(D156)-DATEVALUE(B156),"")</x:f>
        <x:v>2</x:v>
      </x:c>
      <x:c r="M156" t="n">
        <x:f>IFERROR(IF(AND(DATEVALUE(D156)&lt;=DATEVALUE(C156),I156=0),1,0),0)</x:f>
        <x:v>0</x:v>
      </x:c>
    </x:row>
    <x:row r="157">
      <x:c r="A157" t="str">
        <x:v>SO0000156</x:v>
      </x:c>
      <x:c r="B157" t="str">
        <x:v>2025-12-31</x:v>
      </x:c>
      <x:c r="C157" t="str">
        <x:v>2026-01-11</x:v>
      </x:c>
      <x:c r="D157" t="str">
        <x:v>2026-01-05</x:v>
      </x:c>
      <x:c r="E157" t="str">
        <x:v>Waikato</x:v>
      </x:c>
      <x:c r="F157" t="str">
        <x:v>Delivered</x:v>
      </x:c>
      <x:c r="G157" t="n">
        <x:v>60</x:v>
      </x:c>
      <x:c r="H157" t="n">
        <x:v>60</x:v>
      </x:c>
      <x:c r="I157" t="n">
        <x:v>0</x:v>
      </x:c>
      <x:c r="J157" t="n">
        <x:v>4718.7</x:v>
      </x:c>
      <x:c r="K157" t="n">
        <x:v>3522.8</x:v>
      </x:c>
      <x:c r="L157" t="n">
        <x:f>IFERROR(DATEVALUE(D157)-DATEVALUE(B157),"")</x:f>
        <x:v>5</x:v>
      </x:c>
      <x:c r="M157" t="n">
        <x:f>IFERROR(IF(AND(DATEVALUE(D157)&lt;=DATEVALUE(C157),I157=0),1,0),0)</x:f>
        <x:v>1</x:v>
      </x:c>
    </x:row>
    <x:row r="158">
      <x:c r="A158" t="str">
        <x:v>SO0000157</x:v>
      </x:c>
      <x:c r="B158" t="str">
        <x:v>2025-05-24</x:v>
      </x:c>
      <x:c r="C158" t="str">
        <x:v>2025-06-03</x:v>
      </x:c>
      <x:c r="D158"/>
      <x:c r="E158" t="str">
        <x:v>Waikato</x:v>
      </x:c>
      <x:c r="F158" t="str">
        <x:v>Open</x:v>
      </x:c>
      <x:c r="G158" t="n">
        <x:v>10</x:v>
      </x:c>
      <x:c r="H158" t="n">
        <x:v>0</x:v>
      </x:c>
      <x:c r="I158" t="n">
        <x:v>10</x:v>
      </x:c>
      <x:c r="J158" t="str">
        <x:v>0.0</x:v>
      </x:c>
      <x:c r="K158" t="str">
        <x:v>0.0</x:v>
      </x:c>
      <x:c r="L158" t="str">
        <x:f>IFERROR(DATEVALUE(D158)-DATEVALUE(B158),"")</x:f>
      </x:c>
      <x:c r="M158" t="n">
        <x:f>IFERROR(IF(AND(DATEVALUE(D158)&lt;=DATEVALUE(C158),I158=0),1,0),0)</x:f>
        <x:v>0</x:v>
      </x:c>
    </x:row>
    <x:row r="159">
      <x:c r="A159" t="str">
        <x:v>SO0000158</x:v>
      </x:c>
      <x:c r="B159" t="str">
        <x:v>2025-11-13</x:v>
      </x:c>
      <x:c r="C159" t="str">
        <x:v>2025-11-19</x:v>
      </x:c>
      <x:c r="D159" t="str">
        <x:v>2025-11-17</x:v>
      </x:c>
      <x:c r="E159" t="str">
        <x:v>Wellington</x:v>
      </x:c>
      <x:c r="F159" t="str">
        <x:v>Delivered</x:v>
      </x:c>
      <x:c r="G159" t="n">
        <x:v>34</x:v>
      </x:c>
      <x:c r="H159" t="n">
        <x:v>34</x:v>
      </x:c>
      <x:c r="I159" t="n">
        <x:v>0</x:v>
      </x:c>
      <x:c r="J159" t="n">
        <x:v>4478.8</x:v>
      </x:c>
      <x:c r="K159" t="n">
        <x:v>3235.58</x:v>
      </x:c>
      <x:c r="L159" t="n">
        <x:f>IFERROR(DATEVALUE(D159)-DATEVALUE(B159),"")</x:f>
        <x:v>4</x:v>
      </x:c>
      <x:c r="M159" t="n">
        <x:f>IFERROR(IF(AND(DATEVALUE(D159)&lt;=DATEVALUE(C159),I159=0),1,0),0)</x:f>
        <x:v>1</x:v>
      </x:c>
    </x:row>
    <x:row r="160">
      <x:c r="A160" t="str">
        <x:v>SO0000159</x:v>
      </x:c>
      <x:c r="B160" t="str">
        <x:v>2026-01-27</x:v>
      </x:c>
      <x:c r="C160" t="str">
        <x:v>2026-02-06</x:v>
      </x:c>
      <x:c r="D160" t="str">
        <x:v>2026-02-01</x:v>
      </x:c>
      <x:c r="E160" t="str">
        <x:v>Canterbury</x:v>
      </x:c>
      <x:c r="F160" t="str">
        <x:v>Delivered</x:v>
      </x:c>
      <x:c r="G160" t="n">
        <x:v>20</x:v>
      </x:c>
      <x:c r="H160" t="n">
        <x:v>20</x:v>
      </x:c>
      <x:c r="I160" t="n">
        <x:v>0</x:v>
      </x:c>
      <x:c r="J160" t="n">
        <x:v>3457.8</x:v>
      </x:c>
      <x:c r="K160" t="n">
        <x:v>2599</x:v>
      </x:c>
      <x:c r="L160" t="n">
        <x:f>IFERROR(DATEVALUE(D160)-DATEVALUE(B160),"")</x:f>
        <x:v>5</x:v>
      </x:c>
      <x:c r="M160" t="n">
        <x:f>IFERROR(IF(AND(DATEVALUE(D160)&lt;=DATEVALUE(C160),I160=0),1,0),0)</x:f>
        <x:v>1</x:v>
      </x:c>
    </x:row>
    <x:row r="161">
      <x:c r="A161" t="str">
        <x:v>SO0000160</x:v>
      </x:c>
      <x:c r="B161" t="str">
        <x:v>2026-09-15</x:v>
      </x:c>
      <x:c r="C161" t="str">
        <x:v>2026-09-21</x:v>
      </x:c>
      <x:c r="D161" t="str">
        <x:v>2026-09-21</x:v>
      </x:c>
      <x:c r="E161" t="str">
        <x:v>Waikato</x:v>
      </x:c>
      <x:c r="F161" t="str">
        <x:v>Delivered</x:v>
      </x:c>
      <x:c r="G161" t="n">
        <x:v>23</x:v>
      </x:c>
      <x:c r="H161" t="n">
        <x:v>23</x:v>
      </x:c>
      <x:c r="I161" t="n">
        <x:v>0</x:v>
      </x:c>
      <x:c r="J161" t="n">
        <x:v>1849.2</x:v>
      </x:c>
      <x:c r="K161" t="n">
        <x:v>1254.8</x:v>
      </x:c>
      <x:c r="L161" t="n">
        <x:f>IFERROR(DATEVALUE(D161)-DATEVALUE(B161),"")</x:f>
        <x:v>6</x:v>
      </x:c>
      <x:c r="M161" t="n">
        <x:f>IFERROR(IF(AND(DATEVALUE(D161)&lt;=DATEVALUE(C161),I161=0),1,0),0)</x:f>
        <x:v>1</x:v>
      </x:c>
    </x:row>
    <x:row r="162">
      <x:c r="A162" t="str">
        <x:v>SO0000161</x:v>
      </x:c>
      <x:c r="B162" t="str">
        <x:v>2025-07-22</x:v>
      </x:c>
      <x:c r="C162" t="str">
        <x:v>2025-07-29</x:v>
      </x:c>
      <x:c r="D162" t="str">
        <x:v>2025-07-27</x:v>
      </x:c>
      <x:c r="E162" t="str">
        <x:v>Waikato</x:v>
      </x:c>
      <x:c r="F162" t="str">
        <x:v>Delivered</x:v>
      </x:c>
      <x:c r="G162" t="n">
        <x:v>4</x:v>
      </x:c>
      <x:c r="H162" t="n">
        <x:v>4</x:v>
      </x:c>
      <x:c r="I162" t="n">
        <x:v>0</x:v>
      </x:c>
      <x:c r="J162" t="n">
        <x:v>442.9</x:v>
      </x:c>
      <x:c r="K162" t="n">
        <x:v>333.74</x:v>
      </x:c>
      <x:c r="L162" t="n">
        <x:f>IFERROR(DATEVALUE(D162)-DATEVALUE(B162),"")</x:f>
        <x:v>5</x:v>
      </x:c>
      <x:c r="M162" t="n">
        <x:f>IFERROR(IF(AND(DATEVALUE(D162)&lt;=DATEVALUE(C162),I162=0),1,0),0)</x:f>
        <x:v>1</x:v>
      </x:c>
    </x:row>
    <x:row r="163">
      <x:c r="A163" t="str">
        <x:v>SO0000162</x:v>
      </x:c>
      <x:c r="B163" t="str">
        <x:v>2025-09-26</x:v>
      </x:c>
      <x:c r="C163" t="str">
        <x:v>2025-10-07</x:v>
      </x:c>
      <x:c r="D163" t="str">
        <x:v>2025-10-03</x:v>
      </x:c>
      <x:c r="E163" t="str">
        <x:v>Canterbury</x:v>
      </x:c>
      <x:c r="F163" t="str">
        <x:v>Delivered</x:v>
      </x:c>
      <x:c r="G163" t="n">
        <x:v>38</x:v>
      </x:c>
      <x:c r="H163" t="n">
        <x:v>38</x:v>
      </x:c>
      <x:c r="I163" t="n">
        <x:v>0</x:v>
      </x:c>
      <x:c r="J163" t="n">
        <x:v>3474.39</x:v>
      </x:c>
      <x:c r="K163" t="n">
        <x:v>2647.37</x:v>
      </x:c>
      <x:c r="L163" t="n">
        <x:f>IFERROR(DATEVALUE(D163)-DATEVALUE(B163),"")</x:f>
        <x:v>7</x:v>
      </x:c>
      <x:c r="M163" t="n">
        <x:f>IFERROR(IF(AND(DATEVALUE(D163)&lt;=DATEVALUE(C163),I163=0),1,0),0)</x:f>
        <x:v>1</x:v>
      </x:c>
    </x:row>
    <x:row r="164">
      <x:c r="A164" t="str">
        <x:v>SO0000163</x:v>
      </x:c>
      <x:c r="B164" t="str">
        <x:v>2026-01-29</x:v>
      </x:c>
      <x:c r="C164" t="str">
        <x:v>2026-02-06</x:v>
      </x:c>
      <x:c r="D164" t="str">
        <x:v>2026-02-02</x:v>
      </x:c>
      <x:c r="E164" t="str">
        <x:v>Auckland</x:v>
      </x:c>
      <x:c r="F164" t="str">
        <x:v>Delivered</x:v>
      </x:c>
      <x:c r="G164" t="n">
        <x:v>60</x:v>
      </x:c>
      <x:c r="H164" t="n">
        <x:v>60</x:v>
      </x:c>
      <x:c r="I164" t="n">
        <x:v>0</x:v>
      </x:c>
      <x:c r="J164" t="n">
        <x:v>10445.6</x:v>
      </x:c>
      <x:c r="K164" t="n">
        <x:v>7365.8</x:v>
      </x:c>
      <x:c r="L164" t="n">
        <x:f>IFERROR(DATEVALUE(D164)-DATEVALUE(B164),"")</x:f>
        <x:v>4</x:v>
      </x:c>
      <x:c r="M164" t="n">
        <x:f>IFERROR(IF(AND(DATEVALUE(D164)&lt;=DATEVALUE(C164),I164=0),1,0),0)</x:f>
        <x:v>1</x:v>
      </x:c>
    </x:row>
    <x:row r="165">
      <x:c r="A165" t="str">
        <x:v>SO0000164</x:v>
      </x:c>
      <x:c r="B165" t="str">
        <x:v>2026-03-08</x:v>
      </x:c>
      <x:c r="C165" t="str">
        <x:v>2026-03-15</x:v>
      </x:c>
      <x:c r="D165" t="str">
        <x:v>2026-03-11</x:v>
      </x:c>
      <x:c r="E165" t="str">
        <x:v>Waikato</x:v>
      </x:c>
      <x:c r="F165" t="str">
        <x:v>Delivered</x:v>
      </x:c>
      <x:c r="G165" t="n">
        <x:v>46</x:v>
      </x:c>
      <x:c r="H165" t="n">
        <x:v>46</x:v>
      </x:c>
      <x:c r="I165" t="n">
        <x:v>0</x:v>
      </x:c>
      <x:c r="J165" t="n">
        <x:v>6907.16</x:v>
      </x:c>
      <x:c r="K165" t="n">
        <x:v>5063.47</x:v>
      </x:c>
      <x:c r="L165" t="n">
        <x:f>IFERROR(DATEVALUE(D165)-DATEVALUE(B165),"")</x:f>
        <x:v>3</x:v>
      </x:c>
      <x:c r="M165" t="n">
        <x:f>IFERROR(IF(AND(DATEVALUE(D165)&lt;=DATEVALUE(C165),I165=0),1,0),0)</x:f>
        <x:v>1</x:v>
      </x:c>
    </x:row>
    <x:row r="166">
      <x:c r="A166" t="str">
        <x:v>SO0000165</x:v>
      </x:c>
      <x:c r="B166" t="str">
        <x:v>2025-01-12</x:v>
      </x:c>
      <x:c r="C166" t="str">
        <x:v>2025-01-22</x:v>
      </x:c>
      <x:c r="D166" t="str">
        <x:v>2025-01-15</x:v>
      </x:c>
      <x:c r="E166" t="str">
        <x:v>Wellington</x:v>
      </x:c>
      <x:c r="F166" t="str">
        <x:v>Delivered</x:v>
      </x:c>
      <x:c r="G166" t="n">
        <x:v>16</x:v>
      </x:c>
      <x:c r="H166" t="n">
        <x:v>16</x:v>
      </x:c>
      <x:c r="I166" t="n">
        <x:v>0</x:v>
      </x:c>
      <x:c r="J166" t="n">
        <x:v>921.28</x:v>
      </x:c>
      <x:c r="K166" t="n">
        <x:v>626.24</x:v>
      </x:c>
      <x:c r="L166" t="n">
        <x:f>IFERROR(DATEVALUE(D166)-DATEVALUE(B166),"")</x:f>
        <x:v>3</x:v>
      </x:c>
      <x:c r="M166" t="n">
        <x:f>IFERROR(IF(AND(DATEVALUE(D166)&lt;=DATEVALUE(C166),I166=0),1,0),0)</x:f>
        <x:v>1</x:v>
      </x:c>
    </x:row>
    <x:row r="167">
      <x:c r="A167" t="str">
        <x:v>SO0000166</x:v>
      </x:c>
      <x:c r="B167" t="str">
        <x:v>2024-12-30</x:v>
      </x:c>
      <x:c r="C167" t="str">
        <x:v>2025-01-07</x:v>
      </x:c>
      <x:c r="D167" t="str">
        <x:v>2025-01-03</x:v>
      </x:c>
      <x:c r="E167" t="str">
        <x:v>Auckland</x:v>
      </x:c>
      <x:c r="F167" t="str">
        <x:v>Delivered</x:v>
      </x:c>
      <x:c r="G167" t="n">
        <x:v>28</x:v>
      </x:c>
      <x:c r="H167" t="n">
        <x:v>28</x:v>
      </x:c>
      <x:c r="I167" t="n">
        <x:v>0</x:v>
      </x:c>
      <x:c r="J167" t="n">
        <x:v>3481.84</x:v>
      </x:c>
      <x:c r="K167" t="n">
        <x:v>2728.28</x:v>
      </x:c>
      <x:c r="L167" t="n">
        <x:f>IFERROR(DATEVALUE(D167)-DATEVALUE(B167),"")</x:f>
        <x:v>4</x:v>
      </x:c>
      <x:c r="M167" t="n">
        <x:f>IFERROR(IF(AND(DATEVALUE(D167)&lt;=DATEVALUE(C167),I167=0),1,0),0)</x:f>
        <x:v>1</x:v>
      </x:c>
    </x:row>
    <x:row r="168">
      <x:c r="A168" t="str">
        <x:v>SO0000167</x:v>
      </x:c>
      <x:c r="B168" t="str">
        <x:v>2025-09-17</x:v>
      </x:c>
      <x:c r="C168" t="str">
        <x:v>2025-09-23</x:v>
      </x:c>
      <x:c r="D168" t="str">
        <x:v>2025-09-25</x:v>
      </x:c>
      <x:c r="E168" t="str">
        <x:v>Waikato</x:v>
      </x:c>
      <x:c r="F168" t="str">
        <x:v>Delivered</x:v>
      </x:c>
      <x:c r="G168" t="n">
        <x:v>25</x:v>
      </x:c>
      <x:c r="H168" t="n">
        <x:v>25</x:v>
      </x:c>
      <x:c r="I168" t="n">
        <x:v>0</x:v>
      </x:c>
      <x:c r="J168" t="n">
        <x:v>2625.6</x:v>
      </x:c>
      <x:c r="K168" t="n">
        <x:v>2057.75</x:v>
      </x:c>
      <x:c r="L168" t="n">
        <x:f>IFERROR(DATEVALUE(D168)-DATEVALUE(B168),"")</x:f>
        <x:v>8</x:v>
      </x:c>
      <x:c r="M168" t="n">
        <x:f>IFERROR(IF(AND(DATEVALUE(D168)&lt;=DATEVALUE(C168),I168=0),1,0),0)</x:f>
        <x:v>0</x:v>
      </x:c>
    </x:row>
    <x:row r="169">
      <x:c r="A169" t="str">
        <x:v>SO0000168</x:v>
      </x:c>
      <x:c r="B169" t="str">
        <x:v>2025-09-03</x:v>
      </x:c>
      <x:c r="C169" t="str">
        <x:v>2025-09-08</x:v>
      </x:c>
      <x:c r="D169" t="str">
        <x:v>2025-09-10</x:v>
      </x:c>
      <x:c r="E169" t="str">
        <x:v>Bay of Plenty</x:v>
      </x:c>
      <x:c r="F169" t="str">
        <x:v>Delivered</x:v>
      </x:c>
      <x:c r="G169" t="n">
        <x:v>48</x:v>
      </x:c>
      <x:c r="H169" t="n">
        <x:v>48</x:v>
      </x:c>
      <x:c r="I169" t="n">
        <x:v>0</x:v>
      </x:c>
      <x:c r="J169" t="n">
        <x:v>2060.76</x:v>
      </x:c>
      <x:c r="K169" t="n">
        <x:v>1531.12</x:v>
      </x:c>
      <x:c r="L169" t="n">
        <x:f>IFERROR(DATEVALUE(D169)-DATEVALUE(B169),"")</x:f>
        <x:v>7</x:v>
      </x:c>
      <x:c r="M169" t="n">
        <x:f>IFERROR(IF(AND(DATEVALUE(D169)&lt;=DATEVALUE(C169),I169=0),1,0),0)</x:f>
        <x:v>0</x:v>
      </x:c>
    </x:row>
    <x:row r="170">
      <x:c r="A170" t="str">
        <x:v>SO0000169</x:v>
      </x:c>
      <x:c r="B170" t="str">
        <x:v>2026-09-18</x:v>
      </x:c>
      <x:c r="C170" t="str">
        <x:v>2026-09-23</x:v>
      </x:c>
      <x:c r="D170" t="str">
        <x:v>2026-09-22</x:v>
      </x:c>
      <x:c r="E170" t="str">
        <x:v>Wellington</x:v>
      </x:c>
      <x:c r="F170" t="str">
        <x:v>Delivered</x:v>
      </x:c>
      <x:c r="G170" t="n">
        <x:v>43</x:v>
      </x:c>
      <x:c r="H170" t="n">
        <x:v>43</x:v>
      </x:c>
      <x:c r="I170" t="n">
        <x:v>0</x:v>
      </x:c>
      <x:c r="J170" t="n">
        <x:v>6627.53</x:v>
      </x:c>
      <x:c r="K170" t="n">
        <x:v>4517.98</x:v>
      </x:c>
      <x:c r="L170" t="n">
        <x:f>IFERROR(DATEVALUE(D170)-DATEVALUE(B170),"")</x:f>
        <x:v>4</x:v>
      </x:c>
      <x:c r="M170" t="n">
        <x:f>IFERROR(IF(AND(DATEVALUE(D170)&lt;=DATEVALUE(C170),I170=0),1,0),0)</x:f>
        <x:v>1</x:v>
      </x:c>
    </x:row>
    <x:row r="171">
      <x:c r="A171" t="str">
        <x:v>SO0000170</x:v>
      </x:c>
      <x:c r="B171" t="str">
        <x:v>2026-05-26</x:v>
      </x:c>
      <x:c r="C171" t="str">
        <x:v>2026-06-05</x:v>
      </x:c>
      <x:c r="D171"/>
      <x:c r="E171" t="str">
        <x:v>Bay of Plenty</x:v>
      </x:c>
      <x:c r="F171" t="str">
        <x:v>Open</x:v>
      </x:c>
      <x:c r="G171" t="n">
        <x:v>30</x:v>
      </x:c>
      <x:c r="H171" t="n">
        <x:v>0</x:v>
      </x:c>
      <x:c r="I171" t="n">
        <x:v>30</x:v>
      </x:c>
      <x:c r="J171" t="str">
        <x:v>0.0</x:v>
      </x:c>
      <x:c r="K171" t="str">
        <x:v>0.0</x:v>
      </x:c>
      <x:c r="L171" t="str">
        <x:f>IFERROR(DATEVALUE(D171)-DATEVALUE(B171),"")</x:f>
      </x:c>
      <x:c r="M171" t="n">
        <x:f>IFERROR(IF(AND(DATEVALUE(D171)&lt;=DATEVALUE(C171),I171=0),1,0),0)</x:f>
        <x:v>0</x:v>
      </x:c>
    </x:row>
    <x:row r="172">
      <x:c r="A172" t="str">
        <x:v>SO0000171</x:v>
      </x:c>
      <x:c r="B172" t="str">
        <x:v>2025-11-27</x:v>
      </x:c>
      <x:c r="C172" t="str">
        <x:v>2025-12-03</x:v>
      </x:c>
      <x:c r="D172" t="str">
        <x:v>2025-11-30</x:v>
      </x:c>
      <x:c r="E172" t="str">
        <x:v>Auckland</x:v>
      </x:c>
      <x:c r="F172" t="str">
        <x:v>Delivered</x:v>
      </x:c>
      <x:c r="G172" t="n">
        <x:v>40</x:v>
      </x:c>
      <x:c r="H172" t="n">
        <x:v>40</x:v>
      </x:c>
      <x:c r="I172" t="n">
        <x:v>0</x:v>
      </x:c>
      <x:c r="J172" t="n">
        <x:v>3473.1</x:v>
      </x:c>
      <x:c r="K172" t="n">
        <x:v>2783.1</x:v>
      </x:c>
      <x:c r="L172" t="n">
        <x:f>IFERROR(DATEVALUE(D172)-DATEVALUE(B172),"")</x:f>
        <x:v>3</x:v>
      </x:c>
      <x:c r="M172" t="n">
        <x:f>IFERROR(IF(AND(DATEVALUE(D172)&lt;=DATEVALUE(C172),I172=0),1,0),0)</x:f>
        <x:v>1</x:v>
      </x:c>
    </x:row>
    <x:row r="173">
      <x:c r="A173" t="str">
        <x:v>SO0000172</x:v>
      </x:c>
      <x:c r="B173" t="str">
        <x:v>2025-12-12</x:v>
      </x:c>
      <x:c r="C173" t="str">
        <x:v>2025-12-22</x:v>
      </x:c>
      <x:c r="D173" t="str">
        <x:v>2025-12-16</x:v>
      </x:c>
      <x:c r="E173" t="str">
        <x:v>Auckland</x:v>
      </x:c>
      <x:c r="F173" t="str">
        <x:v>Delivered</x:v>
      </x:c>
      <x:c r="G173" t="n">
        <x:v>13</x:v>
      </x:c>
      <x:c r="H173" t="n">
        <x:v>13</x:v>
      </x:c>
      <x:c r="I173" t="n">
        <x:v>0</x:v>
      </x:c>
      <x:c r="J173" t="n">
        <x:v>944.74</x:v>
      </x:c>
      <x:c r="K173" t="n">
        <x:v>696.66</x:v>
      </x:c>
      <x:c r="L173" t="n">
        <x:f>IFERROR(DATEVALUE(D173)-DATEVALUE(B173),"")</x:f>
        <x:v>4</x:v>
      </x:c>
      <x:c r="M173" t="n">
        <x:f>IFERROR(IF(AND(DATEVALUE(D173)&lt;=DATEVALUE(C173),I173=0),1,0),0)</x:f>
        <x:v>1</x:v>
      </x:c>
    </x:row>
    <x:row r="174">
      <x:c r="A174" t="str">
        <x:v>SO0000173</x:v>
      </x:c>
      <x:c r="B174" t="str">
        <x:v>2025-06-01</x:v>
      </x:c>
      <x:c r="C174" t="str">
        <x:v>2025-06-07</x:v>
      </x:c>
      <x:c r="D174" t="str">
        <x:v>2025-06-07</x:v>
      </x:c>
      <x:c r="E174" t="str">
        <x:v>Bay of Plenty</x:v>
      </x:c>
      <x:c r="F174" t="str">
        <x:v>Delivered</x:v>
      </x:c>
      <x:c r="G174" t="n">
        <x:v>8</x:v>
      </x:c>
      <x:c r="H174" t="n">
        <x:v>8</x:v>
      </x:c>
      <x:c r="I174" t="n">
        <x:v>0</x:v>
      </x:c>
      <x:c r="J174" t="n">
        <x:v>1488.64</x:v>
      </x:c>
      <x:c r="K174" t="n">
        <x:v>1003.68</x:v>
      </x:c>
      <x:c r="L174" t="n">
        <x:f>IFERROR(DATEVALUE(D174)-DATEVALUE(B174),"")</x:f>
        <x:v>6</x:v>
      </x:c>
      <x:c r="M174" t="n">
        <x:f>IFERROR(IF(AND(DATEVALUE(D174)&lt;=DATEVALUE(C174),I174=0),1,0),0)</x:f>
        <x:v>1</x:v>
      </x:c>
    </x:row>
    <x:row r="175">
      <x:c r="A175" t="str">
        <x:v>SO0000174</x:v>
      </x:c>
      <x:c r="B175" t="str">
        <x:v>2026-03-31</x:v>
      </x:c>
      <x:c r="C175" t="str">
        <x:v>2026-04-06</x:v>
      </x:c>
      <x:c r="D175" t="str">
        <x:v>2026-04-07</x:v>
      </x:c>
      <x:c r="E175" t="str">
        <x:v>Bay of Plenty</x:v>
      </x:c>
      <x:c r="F175" t="str">
        <x:v>Partially Delivered</x:v>
      </x:c>
      <x:c r="G175" t="n">
        <x:v>45</x:v>
      </x:c>
      <x:c r="H175" t="n">
        <x:v>25</x:v>
      </x:c>
      <x:c r="I175" t="n">
        <x:v>20</x:v>
      </x:c>
      <x:c r="J175" t="n">
        <x:v>3135.65</x:v>
      </x:c>
      <x:c r="K175" t="n">
        <x:v>2499.9</x:v>
      </x:c>
      <x:c r="L175" t="n">
        <x:f>IFERROR(DATEVALUE(D175)-DATEVALUE(B175),"")</x:f>
        <x:v>7</x:v>
      </x:c>
      <x:c r="M175" t="n">
        <x:f>IFERROR(IF(AND(DATEVALUE(D175)&lt;=DATEVALUE(C175),I175=0),1,0),0)</x:f>
        <x:v>0</x:v>
      </x:c>
    </x:row>
    <x:row r="176">
      <x:c r="A176" t="str">
        <x:v>SO0000175</x:v>
      </x:c>
      <x:c r="B176" t="str">
        <x:v>2026-09-17</x:v>
      </x:c>
      <x:c r="C176" t="str">
        <x:v>2026-09-24</x:v>
      </x:c>
      <x:c r="D176" t="str">
        <x:v>2026-09-24</x:v>
      </x:c>
      <x:c r="E176" t="str">
        <x:v>Bay of Plenty</x:v>
      </x:c>
      <x:c r="F176" t="str">
        <x:v>Partially Delivered</x:v>
      </x:c>
      <x:c r="G176" t="n">
        <x:v>13</x:v>
      </x:c>
      <x:c r="H176" t="n">
        <x:v>3</x:v>
      </x:c>
      <x:c r="I176" t="n">
        <x:v>10</x:v>
      </x:c>
      <x:c r="J176" t="n">
        <x:v>427.11</x:v>
      </x:c>
      <x:c r="K176" t="n">
        <x:v>315.45</x:v>
      </x:c>
      <x:c r="L176" t="n">
        <x:f>IFERROR(DATEVALUE(D176)-DATEVALUE(B176),"")</x:f>
        <x:v>7</x:v>
      </x:c>
      <x:c r="M176" t="n">
        <x:f>IFERROR(IF(AND(DATEVALUE(D176)&lt;=DATEVALUE(C176),I176=0),1,0),0)</x:f>
        <x:v>0</x:v>
      </x:c>
    </x:row>
    <x:row r="177">
      <x:c r="A177" t="str">
        <x:v>SO0000176</x:v>
      </x:c>
      <x:c r="B177" t="str">
        <x:v>2024-10-28</x:v>
      </x:c>
      <x:c r="C177" t="str">
        <x:v>2024-11-04</x:v>
      </x:c>
      <x:c r="D177" t="str">
        <x:v>2024-11-04</x:v>
      </x:c>
      <x:c r="E177" t="str">
        <x:v>Auckland</x:v>
      </x:c>
      <x:c r="F177" t="str">
        <x:v>Delivered</x:v>
      </x:c>
      <x:c r="G177" t="n">
        <x:v>35</x:v>
      </x:c>
      <x:c r="H177" t="n">
        <x:v>35</x:v>
      </x:c>
      <x:c r="I177" t="n">
        <x:v>0</x:v>
      </x:c>
      <x:c r="J177" t="n">
        <x:v>2849.75</x:v>
      </x:c>
      <x:c r="K177" t="n">
        <x:v>2137.6</x:v>
      </x:c>
      <x:c r="L177" t="n">
        <x:f>IFERROR(DATEVALUE(D177)-DATEVALUE(B177),"")</x:f>
        <x:v>7</x:v>
      </x:c>
      <x:c r="M177" t="n">
        <x:f>IFERROR(IF(AND(DATEVALUE(D177)&lt;=DATEVALUE(C177),I177=0),1,0),0)</x:f>
        <x:v>1</x:v>
      </x:c>
    </x:row>
    <x:row r="178">
      <x:c r="A178" t="str">
        <x:v>SO0000177</x:v>
      </x:c>
      <x:c r="B178" t="str">
        <x:v>2026-03-15</x:v>
      </x:c>
      <x:c r="C178" t="str">
        <x:v>2026-03-23</x:v>
      </x:c>
      <x:c r="D178" t="str">
        <x:v>2026-03-21</x:v>
      </x:c>
      <x:c r="E178" t="str">
        <x:v>Waikato</x:v>
      </x:c>
      <x:c r="F178" t="str">
        <x:v>Partially Delivered</x:v>
      </x:c>
      <x:c r="G178" t="n">
        <x:v>88</x:v>
      </x:c>
      <x:c r="H178" t="n">
        <x:v>63</x:v>
      </x:c>
      <x:c r="I178" t="n">
        <x:v>25</x:v>
      </x:c>
      <x:c r="J178" t="n">
        <x:v>3016.92</x:v>
      </x:c>
      <x:c r="K178" t="n">
        <x:v>2335.23</x:v>
      </x:c>
      <x:c r="L178" t="n">
        <x:f>IFERROR(DATEVALUE(D178)-DATEVALUE(B178),"")</x:f>
        <x:v>6</x:v>
      </x:c>
      <x:c r="M178" t="n">
        <x:f>IFERROR(IF(AND(DATEVALUE(D178)&lt;=DATEVALUE(C178),I178=0),1,0),0)</x:f>
        <x:v>0</x:v>
      </x:c>
    </x:row>
    <x:row r="179">
      <x:c r="A179" t="str">
        <x:v>SO0000178</x:v>
      </x:c>
      <x:c r="B179" t="str">
        <x:v>2026-07-03</x:v>
      </x:c>
      <x:c r="C179" t="str">
        <x:v>2026-07-11</x:v>
      </x:c>
      <x:c r="D179" t="str">
        <x:v>2026-07-06</x:v>
      </x:c>
      <x:c r="E179" t="str">
        <x:v>Bay of Plenty</x:v>
      </x:c>
      <x:c r="F179" t="str">
        <x:v>Delivered</x:v>
      </x:c>
      <x:c r="G179" t="n">
        <x:v>53</x:v>
      </x:c>
      <x:c r="H179" t="n">
        <x:v>53</x:v>
      </x:c>
      <x:c r="I179" t="n">
        <x:v>0</x:v>
      </x:c>
      <x:c r="J179" t="n">
        <x:v>3371.15</x:v>
      </x:c>
      <x:c r="K179" t="n">
        <x:v>2606.63</x:v>
      </x:c>
      <x:c r="L179" t="n">
        <x:f>IFERROR(DATEVALUE(D179)-DATEVALUE(B179),"")</x:f>
        <x:v>3</x:v>
      </x:c>
      <x:c r="M179" t="n">
        <x:f>IFERROR(IF(AND(DATEVALUE(D179)&lt;=DATEVALUE(C179),I179=0),1,0),0)</x:f>
        <x:v>1</x:v>
      </x:c>
    </x:row>
    <x:row r="180">
      <x:c r="A180" t="str">
        <x:v>SO0000179</x:v>
      </x:c>
      <x:c r="B180" t="str">
        <x:v>2026-05-14</x:v>
      </x:c>
      <x:c r="C180" t="str">
        <x:v>2026-05-21</x:v>
      </x:c>
      <x:c r="D180" t="str">
        <x:v>2026-05-18</x:v>
      </x:c>
      <x:c r="E180" t="str">
        <x:v>Canterbury</x:v>
      </x:c>
      <x:c r="F180" t="str">
        <x:v>Delivered</x:v>
      </x:c>
      <x:c r="G180" t="n">
        <x:v>10</x:v>
      </x:c>
      <x:c r="H180" t="n">
        <x:v>10</x:v>
      </x:c>
      <x:c r="I180" t="n">
        <x:v>0</x:v>
      </x:c>
      <x:c r="J180" t="n">
        <x:v>519.3</x:v>
      </x:c>
      <x:c r="K180" t="n">
        <x:v>349.4</x:v>
      </x:c>
      <x:c r="L180" t="n">
        <x:f>IFERROR(DATEVALUE(D180)-DATEVALUE(B180),"")</x:f>
        <x:v>4</x:v>
      </x:c>
      <x:c r="M180" t="n">
        <x:f>IFERROR(IF(AND(DATEVALUE(D180)&lt;=DATEVALUE(C180),I180=0),1,0),0)</x:f>
        <x:v>1</x:v>
      </x:c>
    </x:row>
    <x:row r="181">
      <x:c r="A181" t="str">
        <x:v>SO0000180</x:v>
      </x:c>
      <x:c r="B181" t="str">
        <x:v>2026-01-06</x:v>
      </x:c>
      <x:c r="C181" t="str">
        <x:v>2026-01-13</x:v>
      </x:c>
      <x:c r="D181" t="str">
        <x:v>2026-01-08</x:v>
      </x:c>
      <x:c r="E181" t="str">
        <x:v>Canterbury</x:v>
      </x:c>
      <x:c r="F181" t="str">
        <x:v>Delivered</x:v>
      </x:c>
      <x:c r="G181" t="n">
        <x:v>8</x:v>
      </x:c>
      <x:c r="H181" t="n">
        <x:v>8</x:v>
      </x:c>
      <x:c r="I181" t="n">
        <x:v>0</x:v>
      </x:c>
      <x:c r="J181" t="n">
        <x:v>483.44</x:v>
      </x:c>
      <x:c r="K181" t="n">
        <x:v>335.36</x:v>
      </x:c>
      <x:c r="L181" t="n">
        <x:f>IFERROR(DATEVALUE(D181)-DATEVALUE(B181),"")</x:f>
        <x:v>2</x:v>
      </x:c>
      <x:c r="M181" t="n">
        <x:f>IFERROR(IF(AND(DATEVALUE(D181)&lt;=DATEVALUE(C181),I181=0),1,0),0)</x:f>
        <x:v>1</x:v>
      </x:c>
    </x:row>
    <x:row r="182">
      <x:c r="A182" t="str">
        <x:v>SO0000181</x:v>
      </x:c>
      <x:c r="B182" t="str">
        <x:v>2024-12-27</x:v>
      </x:c>
      <x:c r="C182" t="str">
        <x:v>2025-01-07</x:v>
      </x:c>
      <x:c r="D182" t="str">
        <x:v>2024-12-31</x:v>
      </x:c>
      <x:c r="E182" t="str">
        <x:v>Bay of Plenty</x:v>
      </x:c>
      <x:c r="F182" t="str">
        <x:v>Delivered</x:v>
      </x:c>
      <x:c r="G182" t="n">
        <x:v>40</x:v>
      </x:c>
      <x:c r="H182" t="n">
        <x:v>40</x:v>
      </x:c>
      <x:c r="I182" t="n">
        <x:v>0</x:v>
      </x:c>
      <x:c r="J182" t="n">
        <x:v>5717.55</x:v>
      </x:c>
      <x:c r="K182" t="n">
        <x:v>4031.15</x:v>
      </x:c>
      <x:c r="L182" t="n">
        <x:f>IFERROR(DATEVALUE(D182)-DATEVALUE(B182),"")</x:f>
        <x:v>4</x:v>
      </x:c>
      <x:c r="M182" t="n">
        <x:f>IFERROR(IF(AND(DATEVALUE(D182)&lt;=DATEVALUE(C182),I182=0),1,0),0)</x:f>
        <x:v>1</x:v>
      </x:c>
    </x:row>
    <x:row r="183">
      <x:c r="A183" t="str">
        <x:v>SO0000182</x:v>
      </x:c>
      <x:c r="B183" t="str">
        <x:v>2024-10-02</x:v>
      </x:c>
      <x:c r="C183" t="str">
        <x:v>2024-10-10</x:v>
      </x:c>
      <x:c r="D183" t="str">
        <x:v>2024-10-07</x:v>
      </x:c>
      <x:c r="E183" t="str">
        <x:v>Auckland</x:v>
      </x:c>
      <x:c r="F183" t="str">
        <x:v>Delivered</x:v>
      </x:c>
      <x:c r="G183" t="n">
        <x:v>33</x:v>
      </x:c>
      <x:c r="H183" t="n">
        <x:v>33</x:v>
      </x:c>
      <x:c r="I183" t="n">
        <x:v>0</x:v>
      </x:c>
      <x:c r="J183" t="n">
        <x:v>5086.8</x:v>
      </x:c>
      <x:c r="K183" t="n">
        <x:v>3341.58</x:v>
      </x:c>
      <x:c r="L183" t="n">
        <x:f>IFERROR(DATEVALUE(D183)-DATEVALUE(B183),"")</x:f>
        <x:v>5</x:v>
      </x:c>
      <x:c r="M183" t="n">
        <x:f>IFERROR(IF(AND(DATEVALUE(D183)&lt;=DATEVALUE(C183),I183=0),1,0),0)</x:f>
        <x:v>1</x:v>
      </x:c>
    </x:row>
    <x:row r="184">
      <x:c r="A184" t="str">
        <x:v>SO0000183</x:v>
      </x:c>
      <x:c r="B184" t="str">
        <x:v>2026-07-01</x:v>
      </x:c>
      <x:c r="C184" t="str">
        <x:v>2026-07-06</x:v>
      </x:c>
      <x:c r="D184" t="str">
        <x:v>2026-07-06</x:v>
      </x:c>
      <x:c r="E184" t="str">
        <x:v>Canterbury</x:v>
      </x:c>
      <x:c r="F184" t="str">
        <x:v>Delivered</x:v>
      </x:c>
      <x:c r="G184" t="n">
        <x:v>15</x:v>
      </x:c>
      <x:c r="H184" t="n">
        <x:v>15</x:v>
      </x:c>
      <x:c r="I184" t="n">
        <x:v>0</x:v>
      </x:c>
      <x:c r="J184" t="n">
        <x:v>1076.7</x:v>
      </x:c>
      <x:c r="K184" t="n">
        <x:v>889.8</x:v>
      </x:c>
      <x:c r="L184" t="n">
        <x:f>IFERROR(DATEVALUE(D184)-DATEVALUE(B184),"")</x:f>
        <x:v>5</x:v>
      </x:c>
      <x:c r="M184" t="n">
        <x:f>IFERROR(IF(AND(DATEVALUE(D184)&lt;=DATEVALUE(C184),I184=0),1,0),0)</x:f>
        <x:v>1</x:v>
      </x:c>
    </x:row>
    <x:row r="185">
      <x:c r="A185" t="str">
        <x:v>SO0000184</x:v>
      </x:c>
      <x:c r="B185" t="str">
        <x:v>2025-12-19</x:v>
      </x:c>
      <x:c r="C185" t="str">
        <x:v>2025-12-29</x:v>
      </x:c>
      <x:c r="D185" t="str">
        <x:v>2025-12-22</x:v>
      </x:c>
      <x:c r="E185" t="str">
        <x:v>Canterbury</x:v>
      </x:c>
      <x:c r="F185" t="str">
        <x:v>Delivered</x:v>
      </x:c>
      <x:c r="G185" t="n">
        <x:v>61</x:v>
      </x:c>
      <x:c r="H185" t="n">
        <x:v>61</x:v>
      </x:c>
      <x:c r="I185" t="n">
        <x:v>0</x:v>
      </x:c>
      <x:c r="J185" t="n">
        <x:v>2204.12</x:v>
      </x:c>
      <x:c r="K185" t="n">
        <x:v>1565.57</x:v>
      </x:c>
      <x:c r="L185" t="n">
        <x:f>IFERROR(DATEVALUE(D185)-DATEVALUE(B185),"")</x:f>
        <x:v>3</x:v>
      </x:c>
      <x:c r="M185" t="n">
        <x:f>IFERROR(IF(AND(DATEVALUE(D185)&lt;=DATEVALUE(C185),I185=0),1,0),0)</x:f>
        <x:v>1</x:v>
      </x:c>
    </x:row>
    <x:row r="186">
      <x:c r="A186" t="str">
        <x:v>SO0000185</x:v>
      </x:c>
      <x:c r="B186" t="str">
        <x:v>2024-12-27</x:v>
      </x:c>
      <x:c r="C186" t="str">
        <x:v>2025-01-01</x:v>
      </x:c>
      <x:c r="D186" t="str">
        <x:v>2025-01-04</x:v>
      </x:c>
      <x:c r="E186" t="str">
        <x:v>Bay of Plenty</x:v>
      </x:c>
      <x:c r="F186" t="str">
        <x:v>Delivered</x:v>
      </x:c>
      <x:c r="G186" t="n">
        <x:v>80</x:v>
      </x:c>
      <x:c r="H186" t="n">
        <x:v>80</x:v>
      </x:c>
      <x:c r="I186" t="n">
        <x:v>0</x:v>
      </x:c>
      <x:c r="J186" t="n">
        <x:v>7694.2</x:v>
      </x:c>
      <x:c r="K186" t="n">
        <x:v>5833</x:v>
      </x:c>
      <x:c r="L186" t="n">
        <x:f>IFERROR(DATEVALUE(D186)-DATEVALUE(B186),"")</x:f>
        <x:v>8</x:v>
      </x:c>
      <x:c r="M186" t="n">
        <x:f>IFERROR(IF(AND(DATEVALUE(D186)&lt;=DATEVALUE(C186),I186=0),1,0),0)</x:f>
        <x:v>0</x:v>
      </x:c>
    </x:row>
    <x:row r="187">
      <x:c r="A187" t="str">
        <x:v>SO0000186</x:v>
      </x:c>
      <x:c r="B187" t="str">
        <x:v>2025-02-20</x:v>
      </x:c>
      <x:c r="C187" t="str">
        <x:v>2025-02-28</x:v>
      </x:c>
      <x:c r="D187" t="str">
        <x:v>2025-02-27</x:v>
      </x:c>
      <x:c r="E187" t="str">
        <x:v>Waikato</x:v>
      </x:c>
      <x:c r="F187" t="str">
        <x:v>Partially Delivered</x:v>
      </x:c>
      <x:c r="G187" t="n">
        <x:v>60</x:v>
      </x:c>
      <x:c r="H187" t="n">
        <x:v>50</x:v>
      </x:c>
      <x:c r="I187" t="n">
        <x:v>10</x:v>
      </x:c>
      <x:c r="J187" t="n">
        <x:v>8412.8</x:v>
      </x:c>
      <x:c r="K187" t="n">
        <x:v>5747.7</x:v>
      </x:c>
      <x:c r="L187" t="n">
        <x:f>IFERROR(DATEVALUE(D187)-DATEVALUE(B187),"")</x:f>
        <x:v>7</x:v>
      </x:c>
      <x:c r="M187" t="n">
        <x:f>IFERROR(IF(AND(DATEVALUE(D187)&lt;=DATEVALUE(C187),I187=0),1,0),0)</x:f>
        <x:v>0</x:v>
      </x:c>
    </x:row>
    <x:row r="188">
      <x:c r="A188" t="str">
        <x:v>SO0000187</x:v>
      </x:c>
      <x:c r="B188" t="str">
        <x:v>2026-06-17</x:v>
      </x:c>
      <x:c r="C188" t="str">
        <x:v>2026-06-23</x:v>
      </x:c>
      <x:c r="D188" t="str">
        <x:v>2026-06-22</x:v>
      </x:c>
      <x:c r="E188" t="str">
        <x:v>Waikato</x:v>
      </x:c>
      <x:c r="F188" t="str">
        <x:v>Delivered</x:v>
      </x:c>
      <x:c r="G188" t="n">
        <x:v>25</x:v>
      </x:c>
      <x:c r="H188" t="n">
        <x:v>25</x:v>
      </x:c>
      <x:c r="I188" t="n">
        <x:v>0</x:v>
      </x:c>
      <x:c r="J188" t="n">
        <x:v>2681.7</x:v>
      </x:c>
      <x:c r="K188" t="n">
        <x:v>2123.2</x:v>
      </x:c>
      <x:c r="L188" t="n">
        <x:f>IFERROR(DATEVALUE(D188)-DATEVALUE(B188),"")</x:f>
        <x:v>5</x:v>
      </x:c>
      <x:c r="M188" t="n">
        <x:f>IFERROR(IF(AND(DATEVALUE(D188)&lt;=DATEVALUE(C188),I188=0),1,0),0)</x:f>
        <x:v>1</x:v>
      </x:c>
    </x:row>
    <x:row r="189">
      <x:c r="A189" t="str">
        <x:v>SO0000188</x:v>
      </x:c>
      <x:c r="B189" t="str">
        <x:v>2024-10-23</x:v>
      </x:c>
      <x:c r="C189" t="str">
        <x:v>2024-11-01</x:v>
      </x:c>
      <x:c r="D189" t="str">
        <x:v>2024-10-31</x:v>
      </x:c>
      <x:c r="E189" t="str">
        <x:v>Waikato</x:v>
      </x:c>
      <x:c r="F189" t="str">
        <x:v>Delivered</x:v>
      </x:c>
      <x:c r="G189" t="n">
        <x:v>60</x:v>
      </x:c>
      <x:c r="H189" t="n">
        <x:v>60</x:v>
      </x:c>
      <x:c r="I189" t="n">
        <x:v>0</x:v>
      </x:c>
      <x:c r="J189" t="n">
        <x:v>6790.2</x:v>
      </x:c>
      <x:c r="K189" t="n">
        <x:v>5109.2</x:v>
      </x:c>
      <x:c r="L189" t="n">
        <x:f>IFERROR(DATEVALUE(D189)-DATEVALUE(B189),"")</x:f>
        <x:v>8</x:v>
      </x:c>
      <x:c r="M189" t="n">
        <x:f>IFERROR(IF(AND(DATEVALUE(D189)&lt;=DATEVALUE(C189),I189=0),1,0),0)</x:f>
        <x:v>1</x:v>
      </x:c>
    </x:row>
    <x:row r="190">
      <x:c r="A190" t="str">
        <x:v>SO0000189</x:v>
      </x:c>
      <x:c r="B190" t="str">
        <x:v>2025-12-18</x:v>
      </x:c>
      <x:c r="C190" t="str">
        <x:v>2025-12-26</x:v>
      </x:c>
      <x:c r="D190" t="str">
        <x:v>2025-12-22</x:v>
      </x:c>
      <x:c r="E190" t="str">
        <x:v>Auckland</x:v>
      </x:c>
      <x:c r="F190" t="str">
        <x:v>Delivered</x:v>
      </x:c>
      <x:c r="G190" t="n">
        <x:v>26</x:v>
      </x:c>
      <x:c r="H190" t="n">
        <x:v>26</x:v>
      </x:c>
      <x:c r="I190" t="n">
        <x:v>0</x:v>
      </x:c>
      <x:c r="J190" t="n">
        <x:v>3440.42</x:v>
      </x:c>
      <x:c r="K190" t="n">
        <x:v>2619.82</x:v>
      </x:c>
      <x:c r="L190" t="n">
        <x:f>IFERROR(DATEVALUE(D190)-DATEVALUE(B190),"")</x:f>
        <x:v>4</x:v>
      </x:c>
      <x:c r="M190" t="n">
        <x:f>IFERROR(IF(AND(DATEVALUE(D190)&lt;=DATEVALUE(C190),I190=0),1,0),0)</x:f>
        <x:v>1</x:v>
      </x:c>
    </x:row>
    <x:row r="191">
      <x:c r="A191" t="str">
        <x:v>SO0000190</x:v>
      </x:c>
      <x:c r="B191" t="str">
        <x:v>2025-08-19</x:v>
      </x:c>
      <x:c r="C191" t="str">
        <x:v>2025-08-30</x:v>
      </x:c>
      <x:c r="D191" t="str">
        <x:v>2025-08-23</x:v>
      </x:c>
      <x:c r="E191" t="str">
        <x:v>Canterbury</x:v>
      </x:c>
      <x:c r="F191" t="str">
        <x:v>Delivered</x:v>
      </x:c>
      <x:c r="G191" t="n">
        <x:v>5</x:v>
      </x:c>
      <x:c r="H191" t="n">
        <x:v>5</x:v>
      </x:c>
      <x:c r="I191" t="n">
        <x:v>0</x:v>
      </x:c>
      <x:c r="J191" t="n">
        <x:v>867.8</x:v>
      </x:c>
      <x:c r="K191" t="n">
        <x:v>668.2</x:v>
      </x:c>
      <x:c r="L191" t="n">
        <x:f>IFERROR(DATEVALUE(D191)-DATEVALUE(B191),"")</x:f>
        <x:v>4</x:v>
      </x:c>
      <x:c r="M191" t="n">
        <x:f>IFERROR(IF(AND(DATEVALUE(D191)&lt;=DATEVALUE(C191),I191=0),1,0),0)</x:f>
        <x:v>1</x:v>
      </x:c>
    </x:row>
    <x:row r="192">
      <x:c r="A192" t="str">
        <x:v>SO0000191</x:v>
      </x:c>
      <x:c r="B192" t="str">
        <x:v>2025-06-05</x:v>
      </x:c>
      <x:c r="C192" t="str">
        <x:v>2025-06-10</x:v>
      </x:c>
      <x:c r="D192" t="str">
        <x:v>2025-06-10</x:v>
      </x:c>
      <x:c r="E192" t="str">
        <x:v>Canterbury</x:v>
      </x:c>
      <x:c r="F192" t="str">
        <x:v>Partially Delivered</x:v>
      </x:c>
      <x:c r="G192" t="n">
        <x:v>50</x:v>
      </x:c>
      <x:c r="H192" t="n">
        <x:v>30</x:v>
      </x:c>
      <x:c r="I192" t="n">
        <x:v>20</x:v>
      </x:c>
      <x:c r="J192" t="n">
        <x:v>2867.7</x:v>
      </x:c>
      <x:c r="K192" t="n">
        <x:v>2109.3</x:v>
      </x:c>
      <x:c r="L192" t="n">
        <x:f>IFERROR(DATEVALUE(D192)-DATEVALUE(B192),"")</x:f>
        <x:v>5</x:v>
      </x:c>
      <x:c r="M192" t="n">
        <x:f>IFERROR(IF(AND(DATEVALUE(D192)&lt;=DATEVALUE(C192),I192=0),1,0),0)</x:f>
        <x:v>0</x:v>
      </x:c>
    </x:row>
    <x:row r="193">
      <x:c r="A193" t="str">
        <x:v>SO0000192</x:v>
      </x:c>
      <x:c r="B193" t="str">
        <x:v>2025-08-06</x:v>
      </x:c>
      <x:c r="C193" t="str">
        <x:v>2025-08-15</x:v>
      </x:c>
      <x:c r="D193" t="str">
        <x:v>2025-08-13</x:v>
      </x:c>
      <x:c r="E193" t="str">
        <x:v>Waikato</x:v>
      </x:c>
      <x:c r="F193" t="str">
        <x:v>Partially Delivered</x:v>
      </x:c>
      <x:c r="G193" t="n">
        <x:v>24</x:v>
      </x:c>
      <x:c r="H193" t="n">
        <x:v>21</x:v>
      </x:c>
      <x:c r="I193" t="n">
        <x:v>3</x:v>
      </x:c>
      <x:c r="J193" t="n">
        <x:v>2249.77</x:v>
      </x:c>
      <x:c r="K193" t="n">
        <x:v>1573.79</x:v>
      </x:c>
      <x:c r="L193" t="n">
        <x:f>IFERROR(DATEVALUE(D193)-DATEVALUE(B193),"")</x:f>
        <x:v>7</x:v>
      </x:c>
      <x:c r="M193" t="n">
        <x:f>IFERROR(IF(AND(DATEVALUE(D193)&lt;=DATEVALUE(C193),I193=0),1,0),0)</x:f>
        <x:v>0</x:v>
      </x:c>
    </x:row>
    <x:row r="194">
      <x:c r="A194" t="str">
        <x:v>SO0000193</x:v>
      </x:c>
      <x:c r="B194" t="str">
        <x:v>2026-01-20</x:v>
      </x:c>
      <x:c r="C194" t="str">
        <x:v>2026-01-29</x:v>
      </x:c>
      <x:c r="D194" t="str">
        <x:v>2026-01-26</x:v>
      </x:c>
      <x:c r="E194" t="str">
        <x:v>Bay of Plenty</x:v>
      </x:c>
      <x:c r="F194" t="str">
        <x:v>Delivered</x:v>
      </x:c>
      <x:c r="G194" t="n">
        <x:v>24</x:v>
      </x:c>
      <x:c r="H194" t="n">
        <x:v>24</x:v>
      </x:c>
      <x:c r="I194" t="n">
        <x:v>0</x:v>
      </x:c>
      <x:c r="J194" t="n">
        <x:v>943.76</x:v>
      </x:c>
      <x:c r="K194" t="n">
        <x:v>630.16</x:v>
      </x:c>
      <x:c r="L194" t="n">
        <x:f>IFERROR(DATEVALUE(D194)-DATEVALUE(B194),"")</x:f>
        <x:v>6</x:v>
      </x:c>
      <x:c r="M194" t="n">
        <x:f>IFERROR(IF(AND(DATEVALUE(D194)&lt;=DATEVALUE(C194),I194=0),1,0),0)</x:f>
        <x:v>1</x:v>
      </x:c>
    </x:row>
    <x:row r="195">
      <x:c r="A195" t="str">
        <x:v>SO0000194</x:v>
      </x:c>
      <x:c r="B195" t="str">
        <x:v>2025-03-25</x:v>
      </x:c>
      <x:c r="C195" t="str">
        <x:v>2025-04-02</x:v>
      </x:c>
      <x:c r="D195"/>
      <x:c r="E195" t="str">
        <x:v>Wellington</x:v>
      </x:c>
      <x:c r="F195" t="str">
        <x:v>Open</x:v>
      </x:c>
      <x:c r="G195" t="n">
        <x:v>55</x:v>
      </x:c>
      <x:c r="H195" t="n">
        <x:v>0</x:v>
      </x:c>
      <x:c r="I195" t="n">
        <x:v>55</x:v>
      </x:c>
      <x:c r="J195" t="str">
        <x:v>0.0</x:v>
      </x:c>
      <x:c r="K195" t="str">
        <x:v>0.0</x:v>
      </x:c>
      <x:c r="L195" t="str">
        <x:f>IFERROR(DATEVALUE(D195)-DATEVALUE(B195),"")</x:f>
      </x:c>
      <x:c r="M195" t="n">
        <x:f>IFERROR(IF(AND(DATEVALUE(D195)&lt;=DATEVALUE(C195),I195=0),1,0),0)</x:f>
        <x:v>0</x:v>
      </x:c>
    </x:row>
    <x:row r="196">
      <x:c r="A196" t="str">
        <x:v>SO0000195</x:v>
      </x:c>
      <x:c r="B196" t="str">
        <x:v>2025-04-09</x:v>
      </x:c>
      <x:c r="C196" t="str">
        <x:v>2025-04-19</x:v>
      </x:c>
      <x:c r="D196" t="str">
        <x:v>2025-04-19</x:v>
      </x:c>
      <x:c r="E196" t="str">
        <x:v>Canterbury</x:v>
      </x:c>
      <x:c r="F196" t="str">
        <x:v>Partially Delivered</x:v>
      </x:c>
      <x:c r="G196" t="n">
        <x:v>40</x:v>
      </x:c>
      <x:c r="H196" t="n">
        <x:v>30</x:v>
      </x:c>
      <x:c r="I196" t="n">
        <x:v>10</x:v>
      </x:c>
      <x:c r="J196" t="n">
        <x:v>5206.5</x:v>
      </x:c>
      <x:c r="K196" t="n">
        <x:v>3355.8</x:v>
      </x:c>
      <x:c r="L196" t="n">
        <x:f>IFERROR(DATEVALUE(D196)-DATEVALUE(B196),"")</x:f>
        <x:v>10</x:v>
      </x:c>
      <x:c r="M196" t="n">
        <x:f>IFERROR(IF(AND(DATEVALUE(D196)&lt;=DATEVALUE(C196),I196=0),1,0),0)</x:f>
        <x:v>0</x:v>
      </x:c>
    </x:row>
    <x:row r="197">
      <x:c r="A197" t="str">
        <x:v>SO0000196</x:v>
      </x:c>
      <x:c r="B197" t="str">
        <x:v>2026-04-12</x:v>
      </x:c>
      <x:c r="C197" t="str">
        <x:v>2026-04-17</x:v>
      </x:c>
      <x:c r="D197" t="str">
        <x:v>2026-04-18</x:v>
      </x:c>
      <x:c r="E197" t="str">
        <x:v>Canterbury</x:v>
      </x:c>
      <x:c r="F197" t="str">
        <x:v>Delivered</x:v>
      </x:c>
      <x:c r="G197" t="n">
        <x:v>28</x:v>
      </x:c>
      <x:c r="H197" t="n">
        <x:v>28</x:v>
      </x:c>
      <x:c r="I197" t="n">
        <x:v>0</x:v>
      </x:c>
      <x:c r="J197" t="n">
        <x:v>2098.68</x:v>
      </x:c>
      <x:c r="K197" t="n">
        <x:v>1497.04</x:v>
      </x:c>
      <x:c r="L197" t="n">
        <x:f>IFERROR(DATEVALUE(D197)-DATEVALUE(B197),"")</x:f>
        <x:v>6</x:v>
      </x:c>
      <x:c r="M197" t="n">
        <x:f>IFERROR(IF(AND(DATEVALUE(D197)&lt;=DATEVALUE(C197),I197=0),1,0),0)</x:f>
        <x:v>0</x:v>
      </x:c>
    </x:row>
    <x:row r="198">
      <x:c r="A198" t="str">
        <x:v>SO0000197</x:v>
      </x:c>
      <x:c r="B198" t="str">
        <x:v>2025-12-31</x:v>
      </x:c>
      <x:c r="C198" t="str">
        <x:v>2026-01-11</x:v>
      </x:c>
      <x:c r="D198" t="str">
        <x:v>2026-01-04</x:v>
      </x:c>
      <x:c r="E198" t="str">
        <x:v>Waikato</x:v>
      </x:c>
      <x:c r="F198" t="str">
        <x:v>Partially Delivered</x:v>
      </x:c>
      <x:c r="G198" t="n">
        <x:v>55</x:v>
      </x:c>
      <x:c r="H198" t="n">
        <x:v>45</x:v>
      </x:c>
      <x:c r="I198" t="n">
        <x:v>10</x:v>
      </x:c>
      <x:c r="J198" t="n">
        <x:v>2511.8</x:v>
      </x:c>
      <x:c r="K198" t="n">
        <x:v>1881.05</x:v>
      </x:c>
      <x:c r="L198" t="n">
        <x:f>IFERROR(DATEVALUE(D198)-DATEVALUE(B198),"")</x:f>
        <x:v>4</x:v>
      </x:c>
      <x:c r="M198" t="n">
        <x:f>IFERROR(IF(AND(DATEVALUE(D198)&lt;=DATEVALUE(C198),I198=0),1,0),0)</x:f>
        <x:v>0</x:v>
      </x:c>
    </x:row>
    <x:row r="199">
      <x:c r="A199" t="str">
        <x:v>SO0000198</x:v>
      </x:c>
      <x:c r="B199" t="str">
        <x:v>2025-02-21</x:v>
      </x:c>
      <x:c r="C199" t="str">
        <x:v>2025-03-02</x:v>
      </x:c>
      <x:c r="D199" t="str">
        <x:v>2025-02-26</x:v>
      </x:c>
      <x:c r="E199" t="str">
        <x:v>Auckland</x:v>
      </x:c>
      <x:c r="F199" t="str">
        <x:v>Delivered</x:v>
      </x:c>
      <x:c r="G199" t="n">
        <x:v>13</x:v>
      </x:c>
      <x:c r="H199" t="n">
        <x:v>13</x:v>
      </x:c>
      <x:c r="I199" t="n">
        <x:v>0</x:v>
      </x:c>
      <x:c r="J199" t="n">
        <x:v>2189.74</x:v>
      </x:c>
      <x:c r="K199" t="n">
        <x:v>1529.74</x:v>
      </x:c>
      <x:c r="L199" t="n">
        <x:f>IFERROR(DATEVALUE(D199)-DATEVALUE(B199),"")</x:f>
        <x:v>5</x:v>
      </x:c>
      <x:c r="M199" t="n">
        <x:f>IFERROR(IF(AND(DATEVALUE(D199)&lt;=DATEVALUE(C199),I199=0),1,0),0)</x:f>
        <x:v>1</x:v>
      </x:c>
    </x:row>
    <x:row r="200">
      <x:c r="A200" t="str">
        <x:v>SO0000199</x:v>
      </x:c>
      <x:c r="B200" t="str">
        <x:v>2025-03-14</x:v>
      </x:c>
      <x:c r="C200" t="str">
        <x:v>2025-03-21</x:v>
      </x:c>
      <x:c r="D200" t="str">
        <x:v>2025-03-17</x:v>
      </x:c>
      <x:c r="E200" t="str">
        <x:v>Wellington</x:v>
      </x:c>
      <x:c r="F200" t="str">
        <x:v>Delivered</x:v>
      </x:c>
      <x:c r="G200" t="n">
        <x:v>75</x:v>
      </x:c>
      <x:c r="H200" t="n">
        <x:v>75</x:v>
      </x:c>
      <x:c r="I200" t="n">
        <x:v>0</x:v>
      </x:c>
      <x:c r="J200" t="n">
        <x:v>11836.8</x:v>
      </x:c>
      <x:c r="K200" t="n">
        <x:v>7912.35</x:v>
      </x:c>
      <x:c r="L200" t="n">
        <x:f>IFERROR(DATEVALUE(D200)-DATEVALUE(B200),"")</x:f>
        <x:v>3</x:v>
      </x:c>
      <x:c r="M200" t="n">
        <x:f>IFERROR(IF(AND(DATEVALUE(D200)&lt;=DATEVALUE(C200),I200=0),1,0),0)</x:f>
        <x:v>1</x:v>
      </x:c>
    </x:row>
    <x:row r="201">
      <x:c r="A201" t="str">
        <x:v>SO0000200</x:v>
      </x:c>
      <x:c r="B201" t="str">
        <x:v>2026-05-19</x:v>
      </x:c>
      <x:c r="C201" t="str">
        <x:v>2026-05-27</x:v>
      </x:c>
      <x:c r="D201" t="str">
        <x:v>2026-05-23</x:v>
      </x:c>
      <x:c r="E201" t="str">
        <x:v>Bay of Plenty</x:v>
      </x:c>
      <x:c r="F201" t="str">
        <x:v>Delivered</x:v>
      </x:c>
      <x:c r="G201" t="n">
        <x:v>20</x:v>
      </x:c>
      <x:c r="H201" t="n">
        <x:v>20</x:v>
      </x:c>
      <x:c r="I201" t="n">
        <x:v>0</x:v>
      </x:c>
      <x:c r="J201" t="n">
        <x:v>4045</x:v>
      </x:c>
      <x:c r="K201" t="n">
        <x:v>2900</x:v>
      </x:c>
      <x:c r="L201" t="n">
        <x:f>IFERROR(DATEVALUE(D201)-DATEVALUE(B201),"")</x:f>
        <x:v>4</x:v>
      </x:c>
      <x:c r="M201" t="n">
        <x:f>IFERROR(IF(AND(DATEVALUE(D201)&lt;=DATEVALUE(C201),I201=0),1,0),0)</x:f>
        <x:v>1</x:v>
      </x:c>
    </x:row>
    <x:row r="202">
      <x:c r="A202" t="str">
        <x:v>SO0000201</x:v>
      </x:c>
      <x:c r="B202" t="str">
        <x:v>2025-08-06</x:v>
      </x:c>
      <x:c r="C202" t="str">
        <x:v>2025-08-17</x:v>
      </x:c>
      <x:c r="D202" t="str">
        <x:v>2025-08-11</x:v>
      </x:c>
      <x:c r="E202" t="str">
        <x:v>Bay of Plenty</x:v>
      </x:c>
      <x:c r="F202" t="str">
        <x:v>Partially Delivered</x:v>
      </x:c>
      <x:c r="G202" t="n">
        <x:v>60</x:v>
      </x:c>
      <x:c r="H202" t="n">
        <x:v>57</x:v>
      </x:c>
      <x:c r="I202" t="n">
        <x:v>3</x:v>
      </x:c>
      <x:c r="J202" t="n">
        <x:v>4853.91</x:v>
      </x:c>
      <x:c r="K202" t="n">
        <x:v>3384.57</x:v>
      </x:c>
      <x:c r="L202" t="n">
        <x:f>IFERROR(DATEVALUE(D202)-DATEVALUE(B202),"")</x:f>
        <x:v>5</x:v>
      </x:c>
      <x:c r="M202" t="n">
        <x:f>IFERROR(IF(AND(DATEVALUE(D202)&lt;=DATEVALUE(C202),I202=0),1,0),0)</x:f>
        <x:v>0</x:v>
      </x:c>
    </x:row>
    <x:row r="203">
      <x:c r="A203" t="str">
        <x:v>SO0000202</x:v>
      </x:c>
      <x:c r="B203" t="str">
        <x:v>2024-12-19</x:v>
      </x:c>
      <x:c r="C203" t="str">
        <x:v>2024-12-26</x:v>
      </x:c>
      <x:c r="D203" t="str">
        <x:v>2024-12-23</x:v>
      </x:c>
      <x:c r="E203" t="str">
        <x:v>Bay of Plenty</x:v>
      </x:c>
      <x:c r="F203" t="str">
        <x:v>Delivered</x:v>
      </x:c>
      <x:c r="G203" t="n">
        <x:v>15</x:v>
      </x:c>
      <x:c r="H203" t="n">
        <x:v>15</x:v>
      </x:c>
      <x:c r="I203" t="n">
        <x:v>0</x:v>
      </x:c>
      <x:c r="J203" t="n">
        <x:v>1245.75</x:v>
      </x:c>
      <x:c r="K203" t="n">
        <x:v>935.25</x:v>
      </x:c>
      <x:c r="L203" t="n">
        <x:f>IFERROR(DATEVALUE(D203)-DATEVALUE(B203),"")</x:f>
        <x:v>4</x:v>
      </x:c>
      <x:c r="M203" t="n">
        <x:f>IFERROR(IF(AND(DATEVALUE(D203)&lt;=DATEVALUE(C203),I203=0),1,0),0)</x:f>
        <x:v>1</x:v>
      </x:c>
    </x:row>
    <x:row r="204">
      <x:c r="A204" t="str">
        <x:v>SO0000203</x:v>
      </x:c>
      <x:c r="B204" t="str">
        <x:v>2025-03-24</x:v>
      </x:c>
      <x:c r="C204" t="str">
        <x:v>2025-04-02</x:v>
      </x:c>
      <x:c r="D204" t="str">
        <x:v>2025-03-28</x:v>
      </x:c>
      <x:c r="E204" t="str">
        <x:v>Wellington</x:v>
      </x:c>
      <x:c r="F204" t="str">
        <x:v>Delivered</x:v>
      </x:c>
      <x:c r="G204" t="n">
        <x:v>10</x:v>
      </x:c>
      <x:c r="H204" t="n">
        <x:v>10</x:v>
      </x:c>
      <x:c r="I204" t="n">
        <x:v>0</x:v>
      </x:c>
      <x:c r="J204" t="n">
        <x:v>1353.5</x:v>
      </x:c>
      <x:c r="K204" t="n">
        <x:v>921.4</x:v>
      </x:c>
      <x:c r="L204" t="n">
        <x:f>IFERROR(DATEVALUE(D204)-DATEVALUE(B204),"")</x:f>
        <x:v>4</x:v>
      </x:c>
      <x:c r="M204" t="n">
        <x:f>IFERROR(IF(AND(DATEVALUE(D204)&lt;=DATEVALUE(C204),I204=0),1,0),0)</x:f>
        <x:v>1</x:v>
      </x:c>
    </x:row>
    <x:row r="205">
      <x:c r="A205" t="str">
        <x:v>SO0000204</x:v>
      </x:c>
      <x:c r="B205" t="str">
        <x:v>2026-05-21</x:v>
      </x:c>
      <x:c r="C205" t="str">
        <x:v>2026-05-29</x:v>
      </x:c>
      <x:c r="D205" t="str">
        <x:v>2026-05-25</x:v>
      </x:c>
      <x:c r="E205" t="str">
        <x:v>Wellington</x:v>
      </x:c>
      <x:c r="F205" t="str">
        <x:v>Partially Delivered</x:v>
      </x:c>
      <x:c r="G205" t="n">
        <x:v>30</x:v>
      </x:c>
      <x:c r="H205" t="n">
        <x:v>29</x:v>
      </x:c>
      <x:c r="I205" t="n">
        <x:v>1</x:v>
      </x:c>
      <x:c r="J205" t="n">
        <x:v>2901.59</x:v>
      </x:c>
      <x:c r="K205" t="n">
        <x:v>2166.91</x:v>
      </x:c>
      <x:c r="L205" t="n">
        <x:f>IFERROR(DATEVALUE(D205)-DATEVALUE(B205),"")</x:f>
        <x:v>4</x:v>
      </x:c>
      <x:c r="M205" t="n">
        <x:f>IFERROR(IF(AND(DATEVALUE(D205)&lt;=DATEVALUE(C205),I205=0),1,0),0)</x:f>
        <x:v>0</x:v>
      </x:c>
    </x:row>
    <x:row r="206">
      <x:c r="A206" t="str">
        <x:v>SO0000205</x:v>
      </x:c>
      <x:c r="B206" t="str">
        <x:v>2024-11-06</x:v>
      </x:c>
      <x:c r="C206" t="str">
        <x:v>2024-11-14</x:v>
      </x:c>
      <x:c r="D206" t="str">
        <x:v>2024-11-13</x:v>
      </x:c>
      <x:c r="E206" t="str">
        <x:v>Bay of Plenty</x:v>
      </x:c>
      <x:c r="F206" t="str">
        <x:v>Partially Delivered</x:v>
      </x:c>
      <x:c r="G206" t="n">
        <x:v>38</x:v>
      </x:c>
      <x:c r="H206" t="n">
        <x:v>30</x:v>
      </x:c>
      <x:c r="I206" t="n">
        <x:v>8</x:v>
      </x:c>
      <x:c r="J206" t="n">
        <x:v>2949.9</x:v>
      </x:c>
      <x:c r="K206" t="n">
        <x:v>2156.4</x:v>
      </x:c>
      <x:c r="L206" t="n">
        <x:f>IFERROR(DATEVALUE(D206)-DATEVALUE(B206),"")</x:f>
        <x:v>7</x:v>
      </x:c>
      <x:c r="M206" t="n">
        <x:f>IFERROR(IF(AND(DATEVALUE(D206)&lt;=DATEVALUE(C206),I206=0),1,0),0)</x:f>
        <x:v>0</x:v>
      </x:c>
    </x:row>
    <x:row r="207">
      <x:c r="A207" t="str">
        <x:v>SO0000206</x:v>
      </x:c>
      <x:c r="B207" t="str">
        <x:v>2026-08-04</x:v>
      </x:c>
      <x:c r="C207" t="str">
        <x:v>2026-08-10</x:v>
      </x:c>
      <x:c r="D207" t="str">
        <x:v>2026-08-09</x:v>
      </x:c>
      <x:c r="E207" t="str">
        <x:v>Waikato</x:v>
      </x:c>
      <x:c r="F207" t="str">
        <x:v>Partially Delivered</x:v>
      </x:c>
      <x:c r="G207" t="n">
        <x:v>23</x:v>
      </x:c>
      <x:c r="H207" t="n">
        <x:v>8</x:v>
      </x:c>
      <x:c r="I207" t="n">
        <x:v>15</x:v>
      </x:c>
      <x:c r="J207" t="n">
        <x:v>345.04</x:v>
      </x:c>
      <x:c r="K207" t="n">
        <x:v>223.92</x:v>
      </x:c>
      <x:c r="L207" t="n">
        <x:f>IFERROR(DATEVALUE(D207)-DATEVALUE(B207),"")</x:f>
        <x:v>5</x:v>
      </x:c>
      <x:c r="M207" t="n">
        <x:f>IFERROR(IF(AND(DATEVALUE(D207)&lt;=DATEVALUE(C207),I207=0),1,0),0)</x:f>
        <x:v>0</x:v>
      </x:c>
    </x:row>
    <x:row r="208">
      <x:c r="A208" t="str">
        <x:v>SO0000207</x:v>
      </x:c>
      <x:c r="B208" t="str">
        <x:v>2025-02-23</x:v>
      </x:c>
      <x:c r="C208" t="str">
        <x:v>2025-03-04</x:v>
      </x:c>
      <x:c r="D208" t="str">
        <x:v>2025-02-25</x:v>
      </x:c>
      <x:c r="E208" t="str">
        <x:v>Auckland</x:v>
      </x:c>
      <x:c r="F208" t="str">
        <x:v>Delivered</x:v>
      </x:c>
      <x:c r="G208" t="n">
        <x:v>20</x:v>
      </x:c>
      <x:c r="H208" t="n">
        <x:v>20</x:v>
      </x:c>
      <x:c r="I208" t="n">
        <x:v>0</x:v>
      </x:c>
      <x:c r="J208" t="n">
        <x:v>1943.9</x:v>
      </x:c>
      <x:c r="K208" t="n">
        <x:v>1369.6</x:v>
      </x:c>
      <x:c r="L208" t="n">
        <x:f>IFERROR(DATEVALUE(D208)-DATEVALUE(B208),"")</x:f>
        <x:v>2</x:v>
      </x:c>
      <x:c r="M208" t="n">
        <x:f>IFERROR(IF(AND(DATEVALUE(D208)&lt;=DATEVALUE(C208),I208=0),1,0),0)</x:f>
        <x:v>1</x:v>
      </x:c>
    </x:row>
    <x:row r="209">
      <x:c r="A209" t="str">
        <x:v>SO0000208</x:v>
      </x:c>
      <x:c r="B209" t="str">
        <x:v>2025-11-27</x:v>
      </x:c>
      <x:c r="C209" t="str">
        <x:v>2025-12-06</x:v>
      </x:c>
      <x:c r="D209" t="str">
        <x:v>2025-12-03</x:v>
      </x:c>
      <x:c r="E209" t="str">
        <x:v>Wellington</x:v>
      </x:c>
      <x:c r="F209" t="str">
        <x:v>Delivered</x:v>
      </x:c>
      <x:c r="G209" t="n">
        <x:v>33</x:v>
      </x:c>
      <x:c r="H209" t="n">
        <x:v>33</x:v>
      </x:c>
      <x:c r="I209" t="n">
        <x:v>0</x:v>
      </x:c>
      <x:c r="J209" t="n">
        <x:v>3902.44</x:v>
      </x:c>
      <x:c r="K209" t="n">
        <x:v>3050.05</x:v>
      </x:c>
      <x:c r="L209" t="n">
        <x:f>IFERROR(DATEVALUE(D209)-DATEVALUE(B209),"")</x:f>
        <x:v>6</x:v>
      </x:c>
      <x:c r="M209" t="n">
        <x:f>IFERROR(IF(AND(DATEVALUE(D209)&lt;=DATEVALUE(C209),I209=0),1,0),0)</x:f>
        <x:v>1</x:v>
      </x:c>
    </x:row>
    <x:row r="210">
      <x:c r="A210" t="str">
        <x:v>SO0000209</x:v>
      </x:c>
      <x:c r="B210" t="str">
        <x:v>2026-03-11</x:v>
      </x:c>
      <x:c r="C210" t="str">
        <x:v>2026-03-20</x:v>
      </x:c>
      <x:c r="D210" t="str">
        <x:v>2026-03-18</x:v>
      </x:c>
      <x:c r="E210" t="str">
        <x:v>Wellington</x:v>
      </x:c>
      <x:c r="F210" t="str">
        <x:v>Partially Delivered</x:v>
      </x:c>
      <x:c r="G210" t="n">
        <x:v>25</x:v>
      </x:c>
      <x:c r="H210" t="n">
        <x:v>5</x:v>
      </x:c>
      <x:c r="I210" t="n">
        <x:v>20</x:v>
      </x:c>
      <x:c r="J210" t="n">
        <x:v>29.9</x:v>
      </x:c>
      <x:c r="K210" t="n">
        <x:v>23.95</x:v>
      </x:c>
      <x:c r="L210" t="n">
        <x:f>IFERROR(DATEVALUE(D210)-DATEVALUE(B210),"")</x:f>
        <x:v>7</x:v>
      </x:c>
      <x:c r="M210" t="n">
        <x:f>IFERROR(IF(AND(DATEVALUE(D210)&lt;=DATEVALUE(C210),I210=0),1,0),0)</x:f>
        <x:v>0</x:v>
      </x:c>
    </x:row>
    <x:row r="211">
      <x:c r="A211" t="str">
        <x:v>SO0000210</x:v>
      </x:c>
      <x:c r="B211" t="str">
        <x:v>2026-07-18</x:v>
      </x:c>
      <x:c r="C211" t="str">
        <x:v>2026-07-29</x:v>
      </x:c>
      <x:c r="D211" t="str">
        <x:v>2026-07-22</x:v>
      </x:c>
      <x:c r="E211" t="str">
        <x:v>Bay of Plenty</x:v>
      </x:c>
      <x:c r="F211" t="str">
        <x:v>Delivered</x:v>
      </x:c>
      <x:c r="G211" t="n">
        <x:v>80</x:v>
      </x:c>
      <x:c r="H211" t="n">
        <x:v>80</x:v>
      </x:c>
      <x:c r="I211" t="n">
        <x:v>0</x:v>
      </x:c>
      <x:c r="J211" t="n">
        <x:v>13340.55</x:v>
      </x:c>
      <x:c r="K211" t="n">
        <x:v>8676.85</x:v>
      </x:c>
      <x:c r="L211" t="n">
        <x:f>IFERROR(DATEVALUE(D211)-DATEVALUE(B211),"")</x:f>
        <x:v>4</x:v>
      </x:c>
      <x:c r="M211" t="n">
        <x:f>IFERROR(IF(AND(DATEVALUE(D211)&lt;=DATEVALUE(C211),I211=0),1,0),0)</x:f>
        <x:v>1</x:v>
      </x:c>
    </x:row>
    <x:row r="212">
      <x:c r="A212" t="str">
        <x:v>SO0000211</x:v>
      </x:c>
      <x:c r="B212" t="str">
        <x:v>2025-01-06</x:v>
      </x:c>
      <x:c r="C212" t="str">
        <x:v>2025-01-13</x:v>
      </x:c>
      <x:c r="D212" t="str">
        <x:v>2025-01-11</x:v>
      </x:c>
      <x:c r="E212" t="str">
        <x:v>Waikato</x:v>
      </x:c>
      <x:c r="F212" t="str">
        <x:v>Partially Delivered</x:v>
      </x:c>
      <x:c r="G212" t="n">
        <x:v>40</x:v>
      </x:c>
      <x:c r="H212" t="n">
        <x:v>20</x:v>
      </x:c>
      <x:c r="I212" t="n">
        <x:v>20</x:v>
      </x:c>
      <x:c r="J212" t="n">
        <x:v>2390.55</x:v>
      </x:c>
      <x:c r="K212" t="n">
        <x:v>1689</x:v>
      </x:c>
      <x:c r="L212" t="n">
        <x:f>IFERROR(DATEVALUE(D212)-DATEVALUE(B212),"")</x:f>
        <x:v>5</x:v>
      </x:c>
      <x:c r="M212" t="n">
        <x:f>IFERROR(IF(AND(DATEVALUE(D212)&lt;=DATEVALUE(C212),I212=0),1,0),0)</x:f>
        <x:v>0</x:v>
      </x:c>
    </x:row>
    <x:row r="213">
      <x:c r="A213" t="str">
        <x:v>SO0000212</x:v>
      </x:c>
      <x:c r="B213" t="str">
        <x:v>2026-08-19</x:v>
      </x:c>
      <x:c r="C213" t="str">
        <x:v>2026-08-29</x:v>
      </x:c>
      <x:c r="D213" t="str">
        <x:v>2026-08-25</x:v>
      </x:c>
      <x:c r="E213" t="str">
        <x:v>Bay of Plenty</x:v>
      </x:c>
      <x:c r="F213" t="str">
        <x:v>Partially Delivered</x:v>
      </x:c>
      <x:c r="G213" t="n">
        <x:v>50</x:v>
      </x:c>
      <x:c r="H213" t="n">
        <x:v>30</x:v>
      </x:c>
      <x:c r="I213" t="n">
        <x:v>20</x:v>
      </x:c>
      <x:c r="J213" t="n">
        <x:v>4616.95</x:v>
      </x:c>
      <x:c r="K213" t="n">
        <x:v>3679</x:v>
      </x:c>
      <x:c r="L213" t="n">
        <x:f>IFERROR(DATEVALUE(D213)-DATEVALUE(B213),"")</x:f>
        <x:v>6</x:v>
      </x:c>
      <x:c r="M213" t="n">
        <x:f>IFERROR(IF(AND(DATEVALUE(D213)&lt;=DATEVALUE(C213),I213=0),1,0),0)</x:f>
        <x:v>0</x:v>
      </x:c>
    </x:row>
    <x:row r="214">
      <x:c r="A214" t="str">
        <x:v>SO0000213</x:v>
      </x:c>
      <x:c r="B214" t="str">
        <x:v>2026-08-05</x:v>
      </x:c>
      <x:c r="C214" t="str">
        <x:v>2026-08-12</x:v>
      </x:c>
      <x:c r="D214" t="str">
        <x:v>2026-08-08</x:v>
      </x:c>
      <x:c r="E214" t="str">
        <x:v>Waikato</x:v>
      </x:c>
      <x:c r="F214" t="str">
        <x:v>Delivered</x:v>
      </x:c>
      <x:c r="G214" t="n">
        <x:v>40</x:v>
      </x:c>
      <x:c r="H214" t="n">
        <x:v>40</x:v>
      </x:c>
      <x:c r="I214" t="n">
        <x:v>0</x:v>
      </x:c>
      <x:c r="J214" t="n">
        <x:v>7335.6</x:v>
      </x:c>
      <x:c r="K214" t="n">
        <x:v>5293.6</x:v>
      </x:c>
      <x:c r="L214" t="n">
        <x:f>IFERROR(DATEVALUE(D214)-DATEVALUE(B214),"")</x:f>
        <x:v>3</x:v>
      </x:c>
      <x:c r="M214" t="n">
        <x:f>IFERROR(IF(AND(DATEVALUE(D214)&lt;=DATEVALUE(C214),I214=0),1,0),0)</x:f>
        <x:v>1</x:v>
      </x:c>
    </x:row>
    <x:row r="215">
      <x:c r="A215" t="str">
        <x:v>SO0000214</x:v>
      </x:c>
      <x:c r="B215" t="str">
        <x:v>2026-03-16</x:v>
      </x:c>
      <x:c r="C215" t="str">
        <x:v>2026-03-24</x:v>
      </x:c>
      <x:c r="D215" t="str">
        <x:v>2026-03-22</x:v>
      </x:c>
      <x:c r="E215" t="str">
        <x:v>Bay of Plenty</x:v>
      </x:c>
      <x:c r="F215" t="str">
        <x:v>Partially Delivered</x:v>
      </x:c>
      <x:c r="G215" t="n">
        <x:v>54</x:v>
      </x:c>
      <x:c r="H215" t="n">
        <x:v>53</x:v>
      </x:c>
      <x:c r="I215" t="n">
        <x:v>1</x:v>
      </x:c>
      <x:c r="J215" t="n">
        <x:v>3778.69</x:v>
      </x:c>
      <x:c r="K215" t="n">
        <x:v>2725.9</x:v>
      </x:c>
      <x:c r="L215" t="n">
        <x:f>IFERROR(DATEVALUE(D215)-DATEVALUE(B215),"")</x:f>
        <x:v>6</x:v>
      </x:c>
      <x:c r="M215" t="n">
        <x:f>IFERROR(IF(AND(DATEVALUE(D215)&lt;=DATEVALUE(C215),I215=0),1,0),0)</x:f>
        <x:v>0</x:v>
      </x:c>
    </x:row>
    <x:row r="216">
      <x:c r="A216" t="str">
        <x:v>SO0000215</x:v>
      </x:c>
      <x:c r="B216" t="str">
        <x:v>2026-04-15</x:v>
      </x:c>
      <x:c r="C216" t="str">
        <x:v>2026-04-21</x:v>
      </x:c>
      <x:c r="D216" t="str">
        <x:v>2026-04-19</x:v>
      </x:c>
      <x:c r="E216" t="str">
        <x:v>Bay of Plenty</x:v>
      </x:c>
      <x:c r="F216" t="str">
        <x:v>Partially Delivered</x:v>
      </x:c>
      <x:c r="G216" t="n">
        <x:v>38</x:v>
      </x:c>
      <x:c r="H216" t="n">
        <x:v>33</x:v>
      </x:c>
      <x:c r="I216" t="n">
        <x:v>5</x:v>
      </x:c>
      <x:c r="J216" t="n">
        <x:v>2748.24</x:v>
      </x:c>
      <x:c r="K216" t="n">
        <x:v>1919.95</x:v>
      </x:c>
      <x:c r="L216" t="n">
        <x:f>IFERROR(DATEVALUE(D216)-DATEVALUE(B216),"")</x:f>
        <x:v>4</x:v>
      </x:c>
      <x:c r="M216" t="n">
        <x:f>IFERROR(IF(AND(DATEVALUE(D216)&lt;=DATEVALUE(C216),I216=0),1,0),0)</x:f>
        <x:v>0</x:v>
      </x:c>
    </x:row>
    <x:row r="217">
      <x:c r="A217" t="str">
        <x:v>SO0000216</x:v>
      </x:c>
      <x:c r="B217" t="str">
        <x:v>2026-04-28</x:v>
      </x:c>
      <x:c r="C217" t="str">
        <x:v>2026-05-03</x:v>
      </x:c>
      <x:c r="D217" t="str">
        <x:v>2026-05-02</x:v>
      </x:c>
      <x:c r="E217" t="str">
        <x:v>Auckland</x:v>
      </x:c>
      <x:c r="F217" t="str">
        <x:v>Delivered</x:v>
      </x:c>
      <x:c r="G217" t="n">
        <x:v>15</x:v>
      </x:c>
      <x:c r="H217" t="n">
        <x:v>15</x:v>
      </x:c>
      <x:c r="I217" t="n">
        <x:v>0</x:v>
      </x:c>
      <x:c r="J217" t="n">
        <x:v>1271.7</x:v>
      </x:c>
      <x:c r="K217" t="n">
        <x:v>807.6</x:v>
      </x:c>
      <x:c r="L217" t="n">
        <x:f>IFERROR(DATEVALUE(D217)-DATEVALUE(B217),"")</x:f>
        <x:v>4</x:v>
      </x:c>
      <x:c r="M217" t="n">
        <x:f>IFERROR(IF(AND(DATEVALUE(D217)&lt;=DATEVALUE(C217),I217=0),1,0),0)</x:f>
        <x:v>1</x:v>
      </x:c>
    </x:row>
    <x:row r="218">
      <x:c r="A218" t="str">
        <x:v>SO0000217</x:v>
      </x:c>
      <x:c r="B218" t="str">
        <x:v>2025-05-15</x:v>
      </x:c>
      <x:c r="C218" t="str">
        <x:v>2025-05-20</x:v>
      </x:c>
      <x:c r="D218" t="str">
        <x:v>2025-05-19</x:v>
      </x:c>
      <x:c r="E218" t="str">
        <x:v>Canterbury</x:v>
      </x:c>
      <x:c r="F218" t="str">
        <x:v>Delivered</x:v>
      </x:c>
      <x:c r="G218" t="n">
        <x:v>15</x:v>
      </x:c>
      <x:c r="H218" t="n">
        <x:v>15</x:v>
      </x:c>
      <x:c r="I218" t="n">
        <x:v>0</x:v>
      </x:c>
      <x:c r="J218" t="n">
        <x:v>1092.55</x:v>
      </x:c>
      <x:c r="K218" t="n">
        <x:v>730.5</x:v>
      </x:c>
      <x:c r="L218" t="n">
        <x:f>IFERROR(DATEVALUE(D218)-DATEVALUE(B218),"")</x:f>
        <x:v>4</x:v>
      </x:c>
      <x:c r="M218" t="n">
        <x:f>IFERROR(IF(AND(DATEVALUE(D218)&lt;=DATEVALUE(C218),I218=0),1,0),0)</x:f>
        <x:v>1</x:v>
      </x:c>
    </x:row>
    <x:row r="219">
      <x:c r="A219" t="str">
        <x:v>SO0000218</x:v>
      </x:c>
      <x:c r="B219" t="str">
        <x:v>2024-11-04</x:v>
      </x:c>
      <x:c r="C219" t="str">
        <x:v>2024-11-12</x:v>
      </x:c>
      <x:c r="D219" t="str">
        <x:v>2024-11-08</x:v>
      </x:c>
      <x:c r="E219" t="str">
        <x:v>Auckland</x:v>
      </x:c>
      <x:c r="F219" t="str">
        <x:v>Partially Delivered</x:v>
      </x:c>
      <x:c r="G219" t="n">
        <x:v>31</x:v>
      </x:c>
      <x:c r="H219" t="n">
        <x:v>1</x:v>
      </x:c>
      <x:c r="I219" t="n">
        <x:v>30</x:v>
      </x:c>
      <x:c r="J219" t="n">
        <x:v>153.47</x:v>
      </x:c>
      <x:c r="K219" t="n">
        <x:v>118.89</x:v>
      </x:c>
      <x:c r="L219" t="n">
        <x:f>IFERROR(DATEVALUE(D219)-DATEVALUE(B219),"")</x:f>
        <x:v>4</x:v>
      </x:c>
      <x:c r="M219" t="n">
        <x:f>IFERROR(IF(AND(DATEVALUE(D219)&lt;=DATEVALUE(C219),I219=0),1,0),0)</x:f>
        <x:v>0</x:v>
      </x:c>
    </x:row>
    <x:row r="220">
      <x:c r="A220" t="str">
        <x:v>SO0000219</x:v>
      </x:c>
      <x:c r="B220" t="str">
        <x:v>2024-11-26</x:v>
      </x:c>
      <x:c r="C220" t="str">
        <x:v>2024-12-01</x:v>
      </x:c>
      <x:c r="D220" t="str">
        <x:v>2024-12-01</x:v>
      </x:c>
      <x:c r="E220" t="str">
        <x:v>Auckland</x:v>
      </x:c>
      <x:c r="F220" t="str">
        <x:v>Delivered</x:v>
      </x:c>
      <x:c r="G220" t="n">
        <x:v>10</x:v>
      </x:c>
      <x:c r="H220" t="n">
        <x:v>10</x:v>
      </x:c>
      <x:c r="I220" t="n">
        <x:v>0</x:v>
      </x:c>
      <x:c r="J220" t="n">
        <x:v>389.9</x:v>
      </x:c>
      <x:c r="K220" t="n">
        <x:v>281.7</x:v>
      </x:c>
      <x:c r="L220" t="n">
        <x:f>IFERROR(DATEVALUE(D220)-DATEVALUE(B220),"")</x:f>
        <x:v>5</x:v>
      </x:c>
      <x:c r="M220" t="n">
        <x:f>IFERROR(IF(AND(DATEVALUE(D220)&lt;=DATEVALUE(C220),I220=0),1,0),0)</x:f>
        <x:v>1</x:v>
      </x:c>
    </x:row>
    <x:row r="221">
      <x:c r="A221" t="str">
        <x:v>SO0000220</x:v>
      </x:c>
      <x:c r="B221" t="str">
        <x:v>2025-02-03</x:v>
      </x:c>
      <x:c r="C221" t="str">
        <x:v>2025-02-08</x:v>
      </x:c>
      <x:c r="D221" t="str">
        <x:v>2025-02-09</x:v>
      </x:c>
      <x:c r="E221" t="str">
        <x:v>Wellington</x:v>
      </x:c>
      <x:c r="F221" t="str">
        <x:v>Delivered</x:v>
      </x:c>
      <x:c r="G221" t="n">
        <x:v>20</x:v>
      </x:c>
      <x:c r="H221" t="n">
        <x:v>20</x:v>
      </x:c>
      <x:c r="I221" t="n">
        <x:v>0</x:v>
      </x:c>
      <x:c r="J221" t="n">
        <x:v>3948.6</x:v>
      </x:c>
      <x:c r="K221" t="n">
        <x:v>2676.8</x:v>
      </x:c>
      <x:c r="L221" t="n">
        <x:f>IFERROR(DATEVALUE(D221)-DATEVALUE(B221),"")</x:f>
        <x:v>6</x:v>
      </x:c>
      <x:c r="M221" t="n">
        <x:f>IFERROR(IF(AND(DATEVALUE(D221)&lt;=DATEVALUE(C221),I221=0),1,0),0)</x:f>
        <x:v>0</x:v>
      </x:c>
    </x:row>
    <x:row r="222">
      <x:c r="A222" t="str">
        <x:v>SO0000221</x:v>
      </x:c>
      <x:c r="B222" t="str">
        <x:v>2026-06-03</x:v>
      </x:c>
      <x:c r="C222" t="str">
        <x:v>2026-06-09</x:v>
      </x:c>
      <x:c r="D222" t="str">
        <x:v>2026-06-07</x:v>
      </x:c>
      <x:c r="E222" t="str">
        <x:v>Bay of Plenty</x:v>
      </x:c>
      <x:c r="F222" t="str">
        <x:v>Delivered</x:v>
      </x:c>
      <x:c r="G222" t="n">
        <x:v>23</x:v>
      </x:c>
      <x:c r="H222" t="n">
        <x:v>23</x:v>
      </x:c>
      <x:c r="I222" t="n">
        <x:v>0</x:v>
      </x:c>
      <x:c r="J222" t="n">
        <x:v>2511.99</x:v>
      </x:c>
      <x:c r="K222" t="n">
        <x:v>2047.25</x:v>
      </x:c>
      <x:c r="L222" t="n">
        <x:f>IFERROR(DATEVALUE(D222)-DATEVALUE(B222),"")</x:f>
        <x:v>4</x:v>
      </x:c>
      <x:c r="M222" t="n">
        <x:f>IFERROR(IF(AND(DATEVALUE(D222)&lt;=DATEVALUE(C222),I222=0),1,0),0)</x:f>
        <x:v>1</x:v>
      </x:c>
    </x:row>
    <x:row r="223">
      <x:c r="A223" t="str">
        <x:v>SO0000222</x:v>
      </x:c>
      <x:c r="B223" t="str">
        <x:v>2024-10-14</x:v>
      </x:c>
      <x:c r="C223" t="str">
        <x:v>2024-10-20</x:v>
      </x:c>
      <x:c r="D223" t="str">
        <x:v>2024-10-17</x:v>
      </x:c>
      <x:c r="E223" t="str">
        <x:v>Auckland</x:v>
      </x:c>
      <x:c r="F223" t="str">
        <x:v>Delivered</x:v>
      </x:c>
      <x:c r="G223" t="n">
        <x:v>43</x:v>
      </x:c>
      <x:c r="H223" t="n">
        <x:v>43</x:v>
      </x:c>
      <x:c r="I223" t="n">
        <x:v>0</x:v>
      </x:c>
      <x:c r="J223" t="n">
        <x:v>5335.9</x:v>
      </x:c>
      <x:c r="K223" t="n">
        <x:v>4294.3</x:v>
      </x:c>
      <x:c r="L223" t="n">
        <x:f>IFERROR(DATEVALUE(D223)-DATEVALUE(B223),"")</x:f>
        <x:v>3</x:v>
      </x:c>
      <x:c r="M223" t="n">
        <x:f>IFERROR(IF(AND(DATEVALUE(D223)&lt;=DATEVALUE(C223),I223=0),1,0),0)</x:f>
        <x:v>1</x:v>
      </x:c>
    </x:row>
    <x:row r="224">
      <x:c r="A224" t="str">
        <x:v>SO0000223</x:v>
      </x:c>
      <x:c r="B224" t="str">
        <x:v>2025-08-01</x:v>
      </x:c>
      <x:c r="C224" t="str">
        <x:v>2025-08-09</x:v>
      </x:c>
      <x:c r="D224" t="str">
        <x:v>2025-08-05</x:v>
      </x:c>
      <x:c r="E224" t="str">
        <x:v>Wellington</x:v>
      </x:c>
      <x:c r="F224" t="str">
        <x:v>Delivered</x:v>
      </x:c>
      <x:c r="G224" t="n">
        <x:v>61</x:v>
      </x:c>
      <x:c r="H224" t="n">
        <x:v>61</x:v>
      </x:c>
      <x:c r="I224" t="n">
        <x:v>0</x:v>
      </x:c>
      <x:c r="J224" t="n">
        <x:v>8594.08</x:v>
      </x:c>
      <x:c r="K224" t="n">
        <x:v>6016.62</x:v>
      </x:c>
      <x:c r="L224" t="n">
        <x:f>IFERROR(DATEVALUE(D224)-DATEVALUE(B224),"")</x:f>
        <x:v>4</x:v>
      </x:c>
      <x:c r="M224" t="n">
        <x:f>IFERROR(IF(AND(DATEVALUE(D224)&lt;=DATEVALUE(C224),I224=0),1,0),0)</x:f>
        <x:v>1</x:v>
      </x:c>
    </x:row>
    <x:row r="225">
      <x:c r="A225" t="str">
        <x:v>SO0000224</x:v>
      </x:c>
      <x:c r="B225" t="str">
        <x:v>2026-06-16</x:v>
      </x:c>
      <x:c r="C225" t="str">
        <x:v>2026-06-25</x:v>
      </x:c>
      <x:c r="D225" t="str">
        <x:v>2026-06-24</x:v>
      </x:c>
      <x:c r="E225" t="str">
        <x:v>Waikato</x:v>
      </x:c>
      <x:c r="F225" t="str">
        <x:v>Delivered</x:v>
      </x:c>
      <x:c r="G225" t="n">
        <x:v>15</x:v>
      </x:c>
      <x:c r="H225" t="n">
        <x:v>15</x:v>
      </x:c>
      <x:c r="I225" t="n">
        <x:v>0</x:v>
      </x:c>
      <x:c r="J225" t="n">
        <x:v>1815.9</x:v>
      </x:c>
      <x:c r="K225" t="n">
        <x:v>1327.65</x:v>
      </x:c>
      <x:c r="L225" t="n">
        <x:f>IFERROR(DATEVALUE(D225)-DATEVALUE(B225),"")</x:f>
        <x:v>8</x:v>
      </x:c>
      <x:c r="M225" t="n">
        <x:f>IFERROR(IF(AND(DATEVALUE(D225)&lt;=DATEVALUE(C225),I225=0),1,0),0)</x:f>
        <x:v>1</x:v>
      </x:c>
    </x:row>
    <x:row r="226">
      <x:c r="A226" t="str">
        <x:v>SO0000225</x:v>
      </x:c>
      <x:c r="B226" t="str">
        <x:v>2025-10-20</x:v>
      </x:c>
      <x:c r="C226" t="str">
        <x:v>2025-10-30</x:v>
      </x:c>
      <x:c r="D226" t="str">
        <x:v>2025-10-28</x:v>
      </x:c>
      <x:c r="E226" t="str">
        <x:v>Wellington</x:v>
      </x:c>
      <x:c r="F226" t="str">
        <x:v>Delivered</x:v>
      </x:c>
      <x:c r="G226" t="n">
        <x:v>60</x:v>
      </x:c>
      <x:c r="H226" t="n">
        <x:v>60</x:v>
      </x:c>
      <x:c r="I226" t="n">
        <x:v>0</x:v>
      </x:c>
      <x:c r="J226" t="n">
        <x:v>2102</x:v>
      </x:c>
      <x:c r="K226" t="n">
        <x:v>1572.2</x:v>
      </x:c>
      <x:c r="L226" t="n">
        <x:f>IFERROR(DATEVALUE(D226)-DATEVALUE(B226),"")</x:f>
        <x:v>8</x:v>
      </x:c>
      <x:c r="M226" t="n">
        <x:f>IFERROR(IF(AND(DATEVALUE(D226)&lt;=DATEVALUE(C226),I226=0),1,0),0)</x:f>
        <x:v>1</x:v>
      </x:c>
    </x:row>
    <x:row r="227">
      <x:c r="A227" t="str">
        <x:v>SO0000226</x:v>
      </x:c>
      <x:c r="B227" t="str">
        <x:v>2025-06-30</x:v>
      </x:c>
      <x:c r="C227" t="str">
        <x:v>2025-07-11</x:v>
      </x:c>
      <x:c r="D227" t="str">
        <x:v>2025-07-04</x:v>
      </x:c>
      <x:c r="E227" t="str">
        <x:v>Waikato</x:v>
      </x:c>
      <x:c r="F227" t="str">
        <x:v>Delivered</x:v>
      </x:c>
      <x:c r="G227" t="n">
        <x:v>30</x:v>
      </x:c>
      <x:c r="H227" t="n">
        <x:v>30</x:v>
      </x:c>
      <x:c r="I227" t="n">
        <x:v>0</x:v>
      </x:c>
      <x:c r="J227" t="n">
        <x:v>3237.6</x:v>
      </x:c>
      <x:c r="K227" t="n">
        <x:v>2195.1</x:v>
      </x:c>
      <x:c r="L227" t="n">
        <x:f>IFERROR(DATEVALUE(D227)-DATEVALUE(B227),"")</x:f>
        <x:v>4</x:v>
      </x:c>
      <x:c r="M227" t="n">
        <x:f>IFERROR(IF(AND(DATEVALUE(D227)&lt;=DATEVALUE(C227),I227=0),1,0),0)</x:f>
        <x:v>1</x:v>
      </x:c>
    </x:row>
    <x:row r="228">
      <x:c r="A228" t="str">
        <x:v>SO0000227</x:v>
      </x:c>
      <x:c r="B228" t="str">
        <x:v>2024-11-11</x:v>
      </x:c>
      <x:c r="C228" t="str">
        <x:v>2024-11-20</x:v>
      </x:c>
      <x:c r="D228" t="str">
        <x:v>2024-11-15</x:v>
      </x:c>
      <x:c r="E228" t="str">
        <x:v>Canterbury</x:v>
      </x:c>
      <x:c r="F228" t="str">
        <x:v>Delivered</x:v>
      </x:c>
      <x:c r="G228" t="n">
        <x:v>50</x:v>
      </x:c>
      <x:c r="H228" t="n">
        <x:v>50</x:v>
      </x:c>
      <x:c r="I228" t="n">
        <x:v>0</x:v>
      </x:c>
      <x:c r="J228" t="n">
        <x:v>8663.4</x:v>
      </x:c>
      <x:c r="K228" t="n">
        <x:v>6364.2</x:v>
      </x:c>
      <x:c r="L228" t="n">
        <x:f>IFERROR(DATEVALUE(D228)-DATEVALUE(B228),"")</x:f>
        <x:v>4</x:v>
      </x:c>
      <x:c r="M228" t="n">
        <x:f>IFERROR(IF(AND(DATEVALUE(D228)&lt;=DATEVALUE(C228),I228=0),1,0),0)</x:f>
        <x:v>1</x:v>
      </x:c>
    </x:row>
    <x:row r="229">
      <x:c r="A229" t="str">
        <x:v>SO0000228</x:v>
      </x:c>
      <x:c r="B229" t="str">
        <x:v>2024-11-29</x:v>
      </x:c>
      <x:c r="C229" t="str">
        <x:v>2024-12-04</x:v>
      </x:c>
      <x:c r="D229" t="str">
        <x:v>2024-12-02</x:v>
      </x:c>
      <x:c r="E229" t="str">
        <x:v>Auckland</x:v>
      </x:c>
      <x:c r="F229" t="str">
        <x:v>Delivered</x:v>
      </x:c>
      <x:c r="G229" t="n">
        <x:v>8</x:v>
      </x:c>
      <x:c r="H229" t="n">
        <x:v>8</x:v>
      </x:c>
      <x:c r="I229" t="n">
        <x:v>0</x:v>
      </x:c>
      <x:c r="J229" t="n">
        <x:v>136.16</x:v>
      </x:c>
      <x:c r="K229" t="n">
        <x:v>106.72</x:v>
      </x:c>
      <x:c r="L229" t="n">
        <x:f>IFERROR(DATEVALUE(D229)-DATEVALUE(B229),"")</x:f>
        <x:v>3</x:v>
      </x:c>
      <x:c r="M229" t="n">
        <x:f>IFERROR(IF(AND(DATEVALUE(D229)&lt;=DATEVALUE(C229),I229=0),1,0),0)</x:f>
        <x:v>1</x:v>
      </x:c>
    </x:row>
    <x:row r="230">
      <x:c r="A230" t="str">
        <x:v>SO0000229</x:v>
      </x:c>
      <x:c r="B230" t="str">
        <x:v>2026-09-28</x:v>
      </x:c>
      <x:c r="C230" t="str">
        <x:v>2026-10-08</x:v>
      </x:c>
      <x:c r="D230"/>
      <x:c r="E230" t="str">
        <x:v>Waikato</x:v>
      </x:c>
      <x:c r="F230" t="str">
        <x:v>Open</x:v>
      </x:c>
      <x:c r="G230" t="n">
        <x:v>16</x:v>
      </x:c>
      <x:c r="H230" t="n">
        <x:v>0</x:v>
      </x:c>
      <x:c r="I230" t="n">
        <x:v>16</x:v>
      </x:c>
      <x:c r="J230" t="str">
        <x:v>0.0</x:v>
      </x:c>
      <x:c r="K230" t="str">
        <x:v>0.0</x:v>
      </x:c>
      <x:c r="L230" t="str">
        <x:f>IFERROR(DATEVALUE(D230)-DATEVALUE(B230),"")</x:f>
      </x:c>
      <x:c r="M230" t="n">
        <x:f>IFERROR(IF(AND(DATEVALUE(D230)&lt;=DATEVALUE(C230),I230=0),1,0),0)</x:f>
        <x:v>0</x:v>
      </x:c>
    </x:row>
    <x:row r="231">
      <x:c r="A231" t="str">
        <x:v>SO0000230</x:v>
      </x:c>
      <x:c r="B231" t="str">
        <x:v>2024-10-02</x:v>
      </x:c>
      <x:c r="C231" t="str">
        <x:v>2024-10-07</x:v>
      </x:c>
      <x:c r="D231" t="str">
        <x:v>2024-10-04</x:v>
      </x:c>
      <x:c r="E231" t="str">
        <x:v>Auckland</x:v>
      </x:c>
      <x:c r="F231" t="str">
        <x:v>Delivered</x:v>
      </x:c>
      <x:c r="G231" t="n">
        <x:v>45</x:v>
      </x:c>
      <x:c r="H231" t="n">
        <x:v>45</x:v>
      </x:c>
      <x:c r="I231" t="n">
        <x:v>0</x:v>
      </x:c>
      <x:c r="J231" t="n">
        <x:v>5244.65</x:v>
      </x:c>
      <x:c r="K231" t="n">
        <x:v>4073.55</x:v>
      </x:c>
      <x:c r="L231" t="n">
        <x:f>IFERROR(DATEVALUE(D231)-DATEVALUE(B231),"")</x:f>
        <x:v>2</x:v>
      </x:c>
      <x:c r="M231" t="n">
        <x:f>IFERROR(IF(AND(DATEVALUE(D231)&lt;=DATEVALUE(C231),I231=0),1,0),0)</x:f>
        <x:v>1</x:v>
      </x:c>
    </x:row>
    <x:row r="232">
      <x:c r="A232" t="str">
        <x:v>SO0000231</x:v>
      </x:c>
      <x:c r="B232" t="str">
        <x:v>2026-09-21</x:v>
      </x:c>
      <x:c r="C232" t="str">
        <x:v>2026-09-26</x:v>
      </x:c>
      <x:c r="D232" t="str">
        <x:v>2026-09-29</x:v>
      </x:c>
      <x:c r="E232" t="str">
        <x:v>Wellington</x:v>
      </x:c>
      <x:c r="F232" t="str">
        <x:v>Delivered</x:v>
      </x:c>
      <x:c r="G232" t="n">
        <x:v>60</x:v>
      </x:c>
      <x:c r="H232" t="n">
        <x:v>60</x:v>
      </x:c>
      <x:c r="I232" t="n">
        <x:v>0</x:v>
      </x:c>
      <x:c r="J232" t="n">
        <x:v>8569.5</x:v>
      </x:c>
      <x:c r="K232" t="n">
        <x:v>5826.7</x:v>
      </x:c>
      <x:c r="L232" t="n">
        <x:f>IFERROR(DATEVALUE(D232)-DATEVALUE(B232),"")</x:f>
        <x:v>8</x:v>
      </x:c>
      <x:c r="M232" t="n">
        <x:f>IFERROR(IF(AND(DATEVALUE(D232)&lt;=DATEVALUE(C232),I232=0),1,0),0)</x:f>
        <x:v>0</x:v>
      </x:c>
    </x:row>
    <x:row r="233">
      <x:c r="A233" t="str">
        <x:v>SO0000232</x:v>
      </x:c>
      <x:c r="B233" t="str">
        <x:v>2026-01-29</x:v>
      </x:c>
      <x:c r="C233" t="str">
        <x:v>2026-02-08</x:v>
      </x:c>
      <x:c r="D233" t="str">
        <x:v>2026-02-02</x:v>
      </x:c>
      <x:c r="E233" t="str">
        <x:v>Auckland</x:v>
      </x:c>
      <x:c r="F233" t="str">
        <x:v>Delivered</x:v>
      </x:c>
      <x:c r="G233" t="n">
        <x:v>15</x:v>
      </x:c>
      <x:c r="H233" t="n">
        <x:v>15</x:v>
      </x:c>
      <x:c r="I233" t="n">
        <x:v>0</x:v>
      </x:c>
      <x:c r="J233" t="n">
        <x:v>1191.25</x:v>
      </x:c>
      <x:c r="K233" t="n">
        <x:v>865.25</x:v>
      </x:c>
      <x:c r="L233" t="n">
        <x:f>IFERROR(DATEVALUE(D233)-DATEVALUE(B233),"")</x:f>
        <x:v>4</x:v>
      </x:c>
      <x:c r="M233" t="n">
        <x:f>IFERROR(IF(AND(DATEVALUE(D233)&lt;=DATEVALUE(C233),I233=0),1,0),0)</x:f>
        <x:v>1</x:v>
      </x:c>
    </x:row>
    <x:row r="234">
      <x:c r="A234" t="str">
        <x:v>SO0000233</x:v>
      </x:c>
      <x:c r="B234" t="str">
        <x:v>2025-12-10</x:v>
      </x:c>
      <x:c r="C234" t="str">
        <x:v>2025-12-18</x:v>
      </x:c>
      <x:c r="D234"/>
      <x:c r="E234" t="str">
        <x:v>Waikato</x:v>
      </x:c>
      <x:c r="F234" t="str">
        <x:v>Open</x:v>
      </x:c>
      <x:c r="G234" t="n">
        <x:v>6</x:v>
      </x:c>
      <x:c r="H234" t="n">
        <x:v>0</x:v>
      </x:c>
      <x:c r="I234" t="n">
        <x:v>6</x:v>
      </x:c>
      <x:c r="J234" t="str">
        <x:v>0.0</x:v>
      </x:c>
      <x:c r="K234" t="str">
        <x:v>0.0</x:v>
      </x:c>
      <x:c r="L234" t="str">
        <x:f>IFERROR(DATEVALUE(D234)-DATEVALUE(B234),"")</x:f>
      </x:c>
      <x:c r="M234" t="n">
        <x:f>IFERROR(IF(AND(DATEVALUE(D234)&lt;=DATEVALUE(C234),I234=0),1,0),0)</x:f>
        <x:v>0</x:v>
      </x:c>
    </x:row>
    <x:row r="235">
      <x:c r="A235" t="str">
        <x:v>SO0000234</x:v>
      </x:c>
      <x:c r="B235" t="str">
        <x:v>2026-02-20</x:v>
      </x:c>
      <x:c r="C235" t="str">
        <x:v>2026-02-26</x:v>
      </x:c>
      <x:c r="D235" t="str">
        <x:v>2026-02-25</x:v>
      </x:c>
      <x:c r="E235" t="str">
        <x:v>Canterbury</x:v>
      </x:c>
      <x:c r="F235" t="str">
        <x:v>Partially Delivered</x:v>
      </x:c>
      <x:c r="G235" t="n">
        <x:v>36</x:v>
      </x:c>
      <x:c r="H235" t="n">
        <x:v>16</x:v>
      </x:c>
      <x:c r="I235" t="n">
        <x:v>20</x:v>
      </x:c>
      <x:c r="J235" t="n">
        <x:v>1449.44</x:v>
      </x:c>
      <x:c r="K235" t="n">
        <x:v>930.48</x:v>
      </x:c>
      <x:c r="L235" t="n">
        <x:f>IFERROR(DATEVALUE(D235)-DATEVALUE(B235),"")</x:f>
        <x:v>5</x:v>
      </x:c>
      <x:c r="M235" t="n">
        <x:f>IFERROR(IF(AND(DATEVALUE(D235)&lt;=DATEVALUE(C235),I235=0),1,0),0)</x:f>
        <x:v>0</x:v>
      </x:c>
    </x:row>
    <x:row r="236">
      <x:c r="A236" t="str">
        <x:v>SO0000235</x:v>
      </x:c>
      <x:c r="B236" t="str">
        <x:v>2026-07-06</x:v>
      </x:c>
      <x:c r="C236" t="str">
        <x:v>2026-07-13</x:v>
      </x:c>
      <x:c r="D236" t="str">
        <x:v>2026-07-13</x:v>
      </x:c>
      <x:c r="E236" t="str">
        <x:v>Waikato</x:v>
      </x:c>
      <x:c r="F236" t="str">
        <x:v>Delivered</x:v>
      </x:c>
      <x:c r="G236" t="n">
        <x:v>51</x:v>
      </x:c>
      <x:c r="H236" t="n">
        <x:v>51</x:v>
      </x:c>
      <x:c r="I236" t="n">
        <x:v>0</x:v>
      </x:c>
      <x:c r="J236" t="n">
        <x:v>6815.49</x:v>
      </x:c>
      <x:c r="K236" t="n">
        <x:v>5592.25</x:v>
      </x:c>
      <x:c r="L236" t="n">
        <x:f>IFERROR(DATEVALUE(D236)-DATEVALUE(B236),"")</x:f>
        <x:v>7</x:v>
      </x:c>
      <x:c r="M236" t="n">
        <x:f>IFERROR(IF(AND(DATEVALUE(D236)&lt;=DATEVALUE(C236),I236=0),1,0),0)</x:f>
        <x:v>1</x:v>
      </x:c>
    </x:row>
    <x:row r="237">
      <x:c r="A237" t="str">
        <x:v>SO0000236</x:v>
      </x:c>
      <x:c r="B237" t="str">
        <x:v>2025-10-09</x:v>
      </x:c>
      <x:c r="C237" t="str">
        <x:v>2025-10-18</x:v>
      </x:c>
      <x:c r="D237" t="str">
        <x:v>2025-10-12</x:v>
      </x:c>
      <x:c r="E237" t="str">
        <x:v>Auckland</x:v>
      </x:c>
      <x:c r="F237" t="str">
        <x:v>Delivered</x:v>
      </x:c>
      <x:c r="G237" t="n">
        <x:v>9</x:v>
      </x:c>
      <x:c r="H237" t="n">
        <x:v>9</x:v>
      </x:c>
      <x:c r="I237" t="n">
        <x:v>0</x:v>
      </x:c>
      <x:c r="J237" t="n">
        <x:v>776.58</x:v>
      </x:c>
      <x:c r="K237" t="n">
        <x:v>501.97</x:v>
      </x:c>
      <x:c r="L237" t="n">
        <x:f>IFERROR(DATEVALUE(D237)-DATEVALUE(B237),"")</x:f>
        <x:v>3</x:v>
      </x:c>
      <x:c r="M237" t="n">
        <x:f>IFERROR(IF(AND(DATEVALUE(D237)&lt;=DATEVALUE(C237),I237=0),1,0),0)</x:f>
        <x:v>1</x:v>
      </x:c>
    </x:row>
    <x:row r="238">
      <x:c r="A238" t="str">
        <x:v>SO0000237</x:v>
      </x:c>
      <x:c r="B238" t="str">
        <x:v>2025-01-02</x:v>
      </x:c>
      <x:c r="C238" t="str">
        <x:v>2025-01-11</x:v>
      </x:c>
      <x:c r="D238" t="str">
        <x:v>2025-01-06</x:v>
      </x:c>
      <x:c r="E238" t="str">
        <x:v>Canterbury</x:v>
      </x:c>
      <x:c r="F238" t="str">
        <x:v>Partially Delivered</x:v>
      </x:c>
      <x:c r="G238" t="n">
        <x:v>45</x:v>
      </x:c>
      <x:c r="H238" t="n">
        <x:v>30</x:v>
      </x:c>
      <x:c r="I238" t="n">
        <x:v>15</x:v>
      </x:c>
      <x:c r="J238" t="n">
        <x:v>4851.9</x:v>
      </x:c>
      <x:c r="K238" t="n">
        <x:v>3992.1</x:v>
      </x:c>
      <x:c r="L238" t="n">
        <x:f>IFERROR(DATEVALUE(D238)-DATEVALUE(B238),"")</x:f>
        <x:v>4</x:v>
      </x:c>
      <x:c r="M238" t="n">
        <x:f>IFERROR(IF(AND(DATEVALUE(D238)&lt;=DATEVALUE(C238),I238=0),1,0),0)</x:f>
        <x:v>0</x:v>
      </x:c>
    </x:row>
    <x:row r="239">
      <x:c r="A239" t="str">
        <x:v>SO0000238</x:v>
      </x:c>
      <x:c r="B239" t="str">
        <x:v>2026-05-25</x:v>
      </x:c>
      <x:c r="C239" t="str">
        <x:v>2026-05-31</x:v>
      </x:c>
      <x:c r="D239" t="str">
        <x:v>2026-05-31</x:v>
      </x:c>
      <x:c r="E239" t="str">
        <x:v>Auckland</x:v>
      </x:c>
      <x:c r="F239" t="str">
        <x:v>Delivered</x:v>
      </x:c>
      <x:c r="G239" t="n">
        <x:v>28</x:v>
      </x:c>
      <x:c r="H239" t="n">
        <x:v>28</x:v>
      </x:c>
      <x:c r="I239" t="n">
        <x:v>0</x:v>
      </x:c>
      <x:c r="J239" t="n">
        <x:v>664.44</x:v>
      </x:c>
      <x:c r="K239" t="n">
        <x:v>444.96</x:v>
      </x:c>
      <x:c r="L239" t="n">
        <x:f>IFERROR(DATEVALUE(D239)-DATEVALUE(B239),"")</x:f>
        <x:v>6</x:v>
      </x:c>
      <x:c r="M239" t="n">
        <x:f>IFERROR(IF(AND(DATEVALUE(D239)&lt;=DATEVALUE(C239),I239=0),1,0),0)</x:f>
        <x:v>1</x:v>
      </x:c>
    </x:row>
    <x:row r="240">
      <x:c r="A240" t="str">
        <x:v>SO0000239</x:v>
      </x:c>
      <x:c r="B240" t="str">
        <x:v>2026-01-16</x:v>
      </x:c>
      <x:c r="C240" t="str">
        <x:v>2026-01-26</x:v>
      </x:c>
      <x:c r="D240" t="str">
        <x:v>2026-01-19</x:v>
      </x:c>
      <x:c r="E240" t="str">
        <x:v>Wellington</x:v>
      </x:c>
      <x:c r="F240" t="str">
        <x:v>Delivered</x:v>
      </x:c>
      <x:c r="G240" t="n">
        <x:v>60</x:v>
      </x:c>
      <x:c r="H240" t="n">
        <x:v>60</x:v>
      </x:c>
      <x:c r="I240" t="n">
        <x:v>0</x:v>
      </x:c>
      <x:c r="J240" t="n">
        <x:v>4212.1</x:v>
      </x:c>
      <x:c r="K240" t="n">
        <x:v>3070.8</x:v>
      </x:c>
      <x:c r="L240" t="n">
        <x:f>IFERROR(DATEVALUE(D240)-DATEVALUE(B240),"")</x:f>
        <x:v>3</x:v>
      </x:c>
      <x:c r="M240" t="n">
        <x:f>IFERROR(IF(AND(DATEVALUE(D240)&lt;=DATEVALUE(C240),I240=0),1,0),0)</x:f>
        <x:v>1</x:v>
      </x:c>
    </x:row>
    <x:row r="241">
      <x:c r="A241" t="str">
        <x:v>SO0000240</x:v>
      </x:c>
      <x:c r="B241" t="str">
        <x:v>2026-05-02</x:v>
      </x:c>
      <x:c r="C241" t="str">
        <x:v>2026-05-11</x:v>
      </x:c>
      <x:c r="D241" t="str">
        <x:v>2026-05-08</x:v>
      </x:c>
      <x:c r="E241" t="str">
        <x:v>Waikato</x:v>
      </x:c>
      <x:c r="F241" t="str">
        <x:v>Delivered</x:v>
      </x:c>
      <x:c r="G241" t="n">
        <x:v>10</x:v>
      </x:c>
      <x:c r="H241" t="n">
        <x:v>10</x:v>
      </x:c>
      <x:c r="I241" t="n">
        <x:v>0</x:v>
      </x:c>
      <x:c r="J241" t="n">
        <x:v>386.5</x:v>
      </x:c>
      <x:c r="K241" t="n">
        <x:v>255.5</x:v>
      </x:c>
      <x:c r="L241" t="n">
        <x:f>IFERROR(DATEVALUE(D241)-DATEVALUE(B241),"")</x:f>
        <x:v>6</x:v>
      </x:c>
      <x:c r="M241" t="n">
        <x:f>IFERROR(IF(AND(DATEVALUE(D241)&lt;=DATEVALUE(C241),I241=0),1,0),0)</x:f>
        <x:v>1</x:v>
      </x:c>
    </x:row>
    <x:row r="242">
      <x:c r="A242" t="str">
        <x:v>SO0000241</x:v>
      </x:c>
      <x:c r="B242" t="str">
        <x:v>2025-09-16</x:v>
      </x:c>
      <x:c r="C242" t="str">
        <x:v>2025-09-27</x:v>
      </x:c>
      <x:c r="D242" t="str">
        <x:v>2025-09-18</x:v>
      </x:c>
      <x:c r="E242" t="str">
        <x:v>Bay of Plenty</x:v>
      </x:c>
      <x:c r="F242" t="str">
        <x:v>Delivered</x:v>
      </x:c>
      <x:c r="G242" t="n">
        <x:v>10</x:v>
      </x:c>
      <x:c r="H242" t="n">
        <x:v>10</x:v>
      </x:c>
      <x:c r="I242" t="n">
        <x:v>0</x:v>
      </x:c>
      <x:c r="J242" t="n">
        <x:v>1777.3</x:v>
      </x:c>
      <x:c r="K242" t="n">
        <x:v>1222</x:v>
      </x:c>
      <x:c r="L242" t="n">
        <x:f>IFERROR(DATEVALUE(D242)-DATEVALUE(B242),"")</x:f>
        <x:v>2</x:v>
      </x:c>
      <x:c r="M242" t="n">
        <x:f>IFERROR(IF(AND(DATEVALUE(D242)&lt;=DATEVALUE(C242),I242=0),1,0),0)</x:f>
        <x:v>1</x:v>
      </x:c>
    </x:row>
    <x:row r="243">
      <x:c r="A243" t="str">
        <x:v>SO0000242</x:v>
      </x:c>
      <x:c r="B243" t="str">
        <x:v>2024-12-25</x:v>
      </x:c>
      <x:c r="C243" t="str">
        <x:v>2025-01-02</x:v>
      </x:c>
      <x:c r="D243" t="str">
        <x:v>2024-12-31</x:v>
      </x:c>
      <x:c r="E243" t="str">
        <x:v>Auckland</x:v>
      </x:c>
      <x:c r="F243" t="str">
        <x:v>Partially Delivered</x:v>
      </x:c>
      <x:c r="G243" t="n">
        <x:v>11</x:v>
      </x:c>
      <x:c r="H243" t="n">
        <x:v>8</x:v>
      </x:c>
      <x:c r="I243" t="n">
        <x:v>3</x:v>
      </x:c>
      <x:c r="J243" t="n">
        <x:v>386.16</x:v>
      </x:c>
      <x:c r="K243" t="n">
        <x:v>257.52</x:v>
      </x:c>
      <x:c r="L243" t="n">
        <x:f>IFERROR(DATEVALUE(D243)-DATEVALUE(B243),"")</x:f>
        <x:v>6</x:v>
      </x:c>
      <x:c r="M243" t="n">
        <x:f>IFERROR(IF(AND(DATEVALUE(D243)&lt;=DATEVALUE(C243),I243=0),1,0),0)</x:f>
        <x:v>0</x:v>
      </x:c>
    </x:row>
    <x:row r="244">
      <x:c r="A244" t="str">
        <x:v>SO0000243</x:v>
      </x:c>
      <x:c r="B244" t="str">
        <x:v>2025-11-18</x:v>
      </x:c>
      <x:c r="C244" t="str">
        <x:v>2025-11-24</x:v>
      </x:c>
      <x:c r="D244" t="str">
        <x:v>2025-11-21</x:v>
      </x:c>
      <x:c r="E244" t="str">
        <x:v>Waikato</x:v>
      </x:c>
      <x:c r="F244" t="str">
        <x:v>Partially Delivered</x:v>
      </x:c>
      <x:c r="G244" t="n">
        <x:v>40</x:v>
      </x:c>
      <x:c r="H244" t="n">
        <x:v>35</x:v>
      </x:c>
      <x:c r="I244" t="n">
        <x:v>5</x:v>
      </x:c>
      <x:c r="J244" t="n">
        <x:v>4279.25</x:v>
      </x:c>
      <x:c r="K244" t="n">
        <x:v>3215.1</x:v>
      </x:c>
      <x:c r="L244" t="n">
        <x:f>IFERROR(DATEVALUE(D244)-DATEVALUE(B244),"")</x:f>
        <x:v>3</x:v>
      </x:c>
      <x:c r="M244" t="n">
        <x:f>IFERROR(IF(AND(DATEVALUE(D244)&lt;=DATEVALUE(C244),I244=0),1,0),0)</x:f>
        <x:v>0</x:v>
      </x:c>
    </x:row>
    <x:row r="245">
      <x:c r="A245" t="str">
        <x:v>SO0000244</x:v>
      </x:c>
      <x:c r="B245" t="str">
        <x:v>2025-10-16</x:v>
      </x:c>
      <x:c r="C245" t="str">
        <x:v>2025-10-24</x:v>
      </x:c>
      <x:c r="D245" t="str">
        <x:v>2025-10-20</x:v>
      </x:c>
      <x:c r="E245" t="str">
        <x:v>Auckland</x:v>
      </x:c>
      <x:c r="F245" t="str">
        <x:v>Delivered</x:v>
      </x:c>
      <x:c r="G245" t="n">
        <x:v>28</x:v>
      </x:c>
      <x:c r="H245" t="n">
        <x:v>28</x:v>
      </x:c>
      <x:c r="I245" t="n">
        <x:v>0</x:v>
      </x:c>
      <x:c r="J245" t="n">
        <x:v>3614.76</x:v>
      </x:c>
      <x:c r="K245" t="n">
        <x:v>2442.59</x:v>
      </x:c>
      <x:c r="L245" t="n">
        <x:f>IFERROR(DATEVALUE(D245)-DATEVALUE(B245),"")</x:f>
        <x:v>4</x:v>
      </x:c>
      <x:c r="M245" t="n">
        <x:f>IFERROR(IF(AND(DATEVALUE(D245)&lt;=DATEVALUE(C245),I245=0),1,0),0)</x:f>
        <x:v>1</x:v>
      </x:c>
    </x:row>
    <x:row r="246">
      <x:c r="A246" t="str">
        <x:v>SO0000245</x:v>
      </x:c>
      <x:c r="B246" t="str">
        <x:v>2026-08-20</x:v>
      </x:c>
      <x:c r="C246" t="str">
        <x:v>2026-08-29</x:v>
      </x:c>
      <x:c r="D246" t="str">
        <x:v>2026-08-29</x:v>
      </x:c>
      <x:c r="E246" t="str">
        <x:v>Wellington</x:v>
      </x:c>
      <x:c r="F246" t="str">
        <x:v>Delivered</x:v>
      </x:c>
      <x:c r="G246" t="n">
        <x:v>53</x:v>
      </x:c>
      <x:c r="H246" t="n">
        <x:v>53</x:v>
      </x:c>
      <x:c r="I246" t="n">
        <x:v>0</x:v>
      </x:c>
      <x:c r="J246" t="n">
        <x:v>4499.88</x:v>
      </x:c>
      <x:c r="K246" t="n">
        <x:v>3055</x:v>
      </x:c>
      <x:c r="L246" t="n">
        <x:f>IFERROR(DATEVALUE(D246)-DATEVALUE(B246),"")</x:f>
        <x:v>9</x:v>
      </x:c>
      <x:c r="M246" t="n">
        <x:f>IFERROR(IF(AND(DATEVALUE(D246)&lt;=DATEVALUE(C246),I246=0),1,0),0)</x:f>
        <x:v>1</x:v>
      </x:c>
    </x:row>
    <x:row r="247">
      <x:c r="A247" t="str">
        <x:v>SO0000246</x:v>
      </x:c>
      <x:c r="B247" t="str">
        <x:v>2026-07-13</x:v>
      </x:c>
      <x:c r="C247" t="str">
        <x:v>2026-07-19</x:v>
      </x:c>
      <x:c r="D247" t="str">
        <x:v>2026-07-16</x:v>
      </x:c>
      <x:c r="E247" t="str">
        <x:v>Auckland</x:v>
      </x:c>
      <x:c r="F247" t="str">
        <x:v>Delivered</x:v>
      </x:c>
      <x:c r="G247" t="n">
        <x:v>23</x:v>
      </x:c>
      <x:c r="H247" t="n">
        <x:v>23</x:v>
      </x:c>
      <x:c r="I247" t="n">
        <x:v>0</x:v>
      </x:c>
      <x:c r="J247" t="n">
        <x:v>916.49</x:v>
      </x:c>
      <x:c r="K247" t="n">
        <x:v>766.57</x:v>
      </x:c>
      <x:c r="L247" t="n">
        <x:f>IFERROR(DATEVALUE(D247)-DATEVALUE(B247),"")</x:f>
        <x:v>3</x:v>
      </x:c>
      <x:c r="M247" t="n">
        <x:f>IFERROR(IF(AND(DATEVALUE(D247)&lt;=DATEVALUE(C247),I247=0),1,0),0)</x:f>
        <x:v>1</x:v>
      </x:c>
    </x:row>
    <x:row r="248">
      <x:c r="A248" t="str">
        <x:v>SO0000247</x:v>
      </x:c>
      <x:c r="B248" t="str">
        <x:v>2024-10-27</x:v>
      </x:c>
      <x:c r="C248" t="str">
        <x:v>2024-11-04</x:v>
      </x:c>
      <x:c r="D248" t="str">
        <x:v>2024-10-31</x:v>
      </x:c>
      <x:c r="E248" t="str">
        <x:v>Canterbury</x:v>
      </x:c>
      <x:c r="F248" t="str">
        <x:v>Delivered</x:v>
      </x:c>
      <x:c r="G248" t="n">
        <x:v>15</x:v>
      </x:c>
      <x:c r="H248" t="n">
        <x:v>15</x:v>
      </x:c>
      <x:c r="I248" t="n">
        <x:v>0</x:v>
      </x:c>
      <x:c r="J248" t="n">
        <x:v>2230.5</x:v>
      </x:c>
      <x:c r="K248" t="n">
        <x:v>1545.75</x:v>
      </x:c>
      <x:c r="L248" t="n">
        <x:f>IFERROR(DATEVALUE(D248)-DATEVALUE(B248),"")</x:f>
        <x:v>4</x:v>
      </x:c>
      <x:c r="M248" t="n">
        <x:f>IFERROR(IF(AND(DATEVALUE(D248)&lt;=DATEVALUE(C248),I248=0),1,0),0)</x:f>
        <x:v>1</x:v>
      </x:c>
    </x:row>
    <x:row r="249">
      <x:c r="A249" t="str">
        <x:v>SO0000248</x:v>
      </x:c>
      <x:c r="B249" t="str">
        <x:v>2026-03-18</x:v>
      </x:c>
      <x:c r="C249" t="str">
        <x:v>2026-03-25</x:v>
      </x:c>
      <x:c r="D249" t="str">
        <x:v>2026-03-25</x:v>
      </x:c>
      <x:c r="E249" t="str">
        <x:v>Canterbury</x:v>
      </x:c>
      <x:c r="F249" t="str">
        <x:v>Partially Delivered</x:v>
      </x:c>
      <x:c r="G249" t="n">
        <x:v>33</x:v>
      </x:c>
      <x:c r="H249" t="n">
        <x:v>25</x:v>
      </x:c>
      <x:c r="I249" t="n">
        <x:v>8</x:v>
      </x:c>
      <x:c r="J249" t="n">
        <x:v>2918.45</x:v>
      </x:c>
      <x:c r="K249" t="n">
        <x:v>1859.5</x:v>
      </x:c>
      <x:c r="L249" t="n">
        <x:f>IFERROR(DATEVALUE(D249)-DATEVALUE(B249),"")</x:f>
        <x:v>7</x:v>
      </x:c>
      <x:c r="M249" t="n">
        <x:f>IFERROR(IF(AND(DATEVALUE(D249)&lt;=DATEVALUE(C249),I249=0),1,0),0)</x:f>
        <x:v>0</x:v>
      </x:c>
    </x:row>
    <x:row r="250">
      <x:c r="A250" t="str">
        <x:v>SO0000249</x:v>
      </x:c>
      <x:c r="B250" t="str">
        <x:v>2026-08-21</x:v>
      </x:c>
      <x:c r="C250" t="str">
        <x:v>2026-08-28</x:v>
      </x:c>
      <x:c r="D250" t="str">
        <x:v>2026-08-23</x:v>
      </x:c>
      <x:c r="E250" t="str">
        <x:v>Waikato</x:v>
      </x:c>
      <x:c r="F250" t="str">
        <x:v>Delivered</x:v>
      </x:c>
      <x:c r="G250" t="n">
        <x:v>49</x:v>
      </x:c>
      <x:c r="H250" t="n">
        <x:v>49</x:v>
      </x:c>
      <x:c r="I250" t="n">
        <x:v>0</x:v>
      </x:c>
      <x:c r="J250" t="n">
        <x:v>6380.66</x:v>
      </x:c>
      <x:c r="K250" t="n">
        <x:v>4381.11</x:v>
      </x:c>
      <x:c r="L250" t="n">
        <x:f>IFERROR(DATEVALUE(D250)-DATEVALUE(B250),"")</x:f>
        <x:v>2</x:v>
      </x:c>
      <x:c r="M250" t="n">
        <x:f>IFERROR(IF(AND(DATEVALUE(D250)&lt;=DATEVALUE(C250),I250=0),1,0),0)</x:f>
        <x:v>1</x:v>
      </x:c>
    </x:row>
    <x:row r="251">
      <x:c r="A251" t="str">
        <x:v>SO0000250</x:v>
      </x:c>
      <x:c r="B251" t="str">
        <x:v>2024-10-10</x:v>
      </x:c>
      <x:c r="C251" t="str">
        <x:v>2024-10-16</x:v>
      </x:c>
      <x:c r="D251" t="str">
        <x:v>2024-10-16</x:v>
      </x:c>
      <x:c r="E251" t="str">
        <x:v>Auckland</x:v>
      </x:c>
      <x:c r="F251" t="str">
        <x:v>Delivered</x:v>
      </x:c>
      <x:c r="G251" t="n">
        <x:v>18</x:v>
      </x:c>
      <x:c r="H251" t="n">
        <x:v>18</x:v>
      </x:c>
      <x:c r="I251" t="n">
        <x:v>0</x:v>
      </x:c>
      <x:c r="J251" t="n">
        <x:v>1282.8</x:v>
      </x:c>
      <x:c r="K251" t="n">
        <x:v>1027.58</x:v>
      </x:c>
      <x:c r="L251" t="n">
        <x:f>IFERROR(DATEVALUE(D251)-DATEVALUE(B251),"")</x:f>
        <x:v>6</x:v>
      </x:c>
      <x:c r="M251" t="n">
        <x:f>IFERROR(IF(AND(DATEVALUE(D251)&lt;=DATEVALUE(C251),I251=0),1,0),0)</x:f>
        <x:v>1</x:v>
      </x:c>
    </x:row>
    <x:row r="252">
      <x:c r="A252" t="str">
        <x:v>SO0000251</x:v>
      </x:c>
      <x:c r="B252" t="str">
        <x:v>2025-11-23</x:v>
      </x:c>
      <x:c r="C252" t="str">
        <x:v>2025-11-28</x:v>
      </x:c>
      <x:c r="D252" t="str">
        <x:v>2025-11-26</x:v>
      </x:c>
      <x:c r="E252" t="str">
        <x:v>Auckland</x:v>
      </x:c>
      <x:c r="F252" t="str">
        <x:v>Delivered</x:v>
      </x:c>
      <x:c r="G252" t="n">
        <x:v>30</x:v>
      </x:c>
      <x:c r="H252" t="n">
        <x:v>30</x:v>
      </x:c>
      <x:c r="I252" t="n">
        <x:v>0</x:v>
      </x:c>
      <x:c r="J252" t="n">
        <x:v>1726.1</x:v>
      </x:c>
      <x:c r="K252" t="n">
        <x:v>1150.9</x:v>
      </x:c>
      <x:c r="L252" t="n">
        <x:f>IFERROR(DATEVALUE(D252)-DATEVALUE(B252),"")</x:f>
        <x:v>3</x:v>
      </x:c>
      <x:c r="M252" t="n">
        <x:f>IFERROR(IF(AND(DATEVALUE(D252)&lt;=DATEVALUE(C252),I252=0),1,0),0)</x:f>
        <x:v>1</x:v>
      </x:c>
    </x:row>
    <x:row r="253">
      <x:c r="A253" t="str">
        <x:v>SO0000252</x:v>
      </x:c>
      <x:c r="B253" t="str">
        <x:v>2026-03-04</x:v>
      </x:c>
      <x:c r="C253" t="str">
        <x:v>2026-03-12</x:v>
      </x:c>
      <x:c r="D253" t="str">
        <x:v>2026-03-11</x:v>
      </x:c>
      <x:c r="E253" t="str">
        <x:v>Waikato</x:v>
      </x:c>
      <x:c r="F253" t="str">
        <x:v>Partially Delivered</x:v>
      </x:c>
      <x:c r="G253" t="n">
        <x:v>35</x:v>
      </x:c>
      <x:c r="H253" t="n">
        <x:v>25</x:v>
      </x:c>
      <x:c r="I253" t="n">
        <x:v>10</x:v>
      </x:c>
      <x:c r="J253" t="n">
        <x:v>2462.25</x:v>
      </x:c>
      <x:c r="K253" t="n">
        <x:v>1772.9</x:v>
      </x:c>
      <x:c r="L253" t="n">
        <x:f>IFERROR(DATEVALUE(D253)-DATEVALUE(B253),"")</x:f>
        <x:v>7</x:v>
      </x:c>
      <x:c r="M253" t="n">
        <x:f>IFERROR(IF(AND(DATEVALUE(D253)&lt;=DATEVALUE(C253),I253=0),1,0),0)</x:f>
        <x:v>0</x:v>
      </x:c>
    </x:row>
    <x:row r="254">
      <x:c r="A254" t="str">
        <x:v>SO0000253</x:v>
      </x:c>
      <x:c r="B254" t="str">
        <x:v>2024-11-21</x:v>
      </x:c>
      <x:c r="C254" t="str">
        <x:v>2024-11-29</x:v>
      </x:c>
      <x:c r="D254" t="str">
        <x:v>2024-11-28</x:v>
      </x:c>
      <x:c r="E254" t="str">
        <x:v>Canterbury</x:v>
      </x:c>
      <x:c r="F254" t="str">
        <x:v>Partially Delivered</x:v>
      </x:c>
      <x:c r="G254" t="n">
        <x:v>25</x:v>
      </x:c>
      <x:c r="H254" t="n">
        <x:v>21</x:v>
      </x:c>
      <x:c r="I254" t="n">
        <x:v>4</x:v>
      </x:c>
      <x:c r="J254" t="n">
        <x:v>3384.75</x:v>
      </x:c>
      <x:c r="K254" t="n">
        <x:v>2253.37</x:v>
      </x:c>
      <x:c r="L254" t="n">
        <x:f>IFERROR(DATEVALUE(D254)-DATEVALUE(B254),"")</x:f>
        <x:v>7</x:v>
      </x:c>
      <x:c r="M254" t="n">
        <x:f>IFERROR(IF(AND(DATEVALUE(D254)&lt;=DATEVALUE(C254),I254=0),1,0),0)</x:f>
        <x:v>0</x:v>
      </x:c>
    </x:row>
    <x:row r="255">
      <x:c r="A255" t="str">
        <x:v>SO0000254</x:v>
      </x:c>
      <x:c r="B255" t="str">
        <x:v>2026-03-05</x:v>
      </x:c>
      <x:c r="C255" t="str">
        <x:v>2026-03-11</x:v>
      </x:c>
      <x:c r="D255" t="str">
        <x:v>2026-03-13</x:v>
      </x:c>
      <x:c r="E255" t="str">
        <x:v>Wellington</x:v>
      </x:c>
      <x:c r="F255" t="str">
        <x:v>Partially Delivered</x:v>
      </x:c>
      <x:c r="G255" t="n">
        <x:v>53</x:v>
      </x:c>
      <x:c r="H255" t="n">
        <x:v>38</x:v>
      </x:c>
      <x:c r="I255" t="n">
        <x:v>15</x:v>
      </x:c>
      <x:c r="J255" t="n">
        <x:v>3646.45</x:v>
      </x:c>
      <x:c r="K255" t="n">
        <x:v>2576.83</x:v>
      </x:c>
      <x:c r="L255" t="n">
        <x:f>IFERROR(DATEVALUE(D255)-DATEVALUE(B255),"")</x:f>
        <x:v>8</x:v>
      </x:c>
      <x:c r="M255" t="n">
        <x:f>IFERROR(IF(AND(DATEVALUE(D255)&lt;=DATEVALUE(C255),I255=0),1,0),0)</x:f>
        <x:v>0</x:v>
      </x:c>
    </x:row>
    <x:row r="256">
      <x:c r="A256" t="str">
        <x:v>SO0000255</x:v>
      </x:c>
      <x:c r="B256" t="str">
        <x:v>2025-12-24</x:v>
      </x:c>
      <x:c r="C256" t="str">
        <x:v>2025-12-30</x:v>
      </x:c>
      <x:c r="D256" t="str">
        <x:v>2025-12-27</x:v>
      </x:c>
      <x:c r="E256" t="str">
        <x:v>Canterbury</x:v>
      </x:c>
      <x:c r="F256" t="str">
        <x:v>Delivered</x:v>
      </x:c>
      <x:c r="G256" t="n">
        <x:v>10</x:v>
      </x:c>
      <x:c r="H256" t="n">
        <x:v>10</x:v>
      </x:c>
      <x:c r="I256" t="n">
        <x:v>0</x:v>
      </x:c>
      <x:c r="J256" t="n">
        <x:v>1081.8</x:v>
      </x:c>
      <x:c r="K256" t="n">
        <x:v>717.1</x:v>
      </x:c>
      <x:c r="L256" t="n">
        <x:f>IFERROR(DATEVALUE(D256)-DATEVALUE(B256),"")</x:f>
        <x:v>3</x:v>
      </x:c>
      <x:c r="M256" t="n">
        <x:f>IFERROR(IF(AND(DATEVALUE(D256)&lt;=DATEVALUE(C256),I256=0),1,0),0)</x:f>
        <x:v>1</x:v>
      </x:c>
    </x:row>
    <x:row r="257">
      <x:c r="A257" t="str">
        <x:v>SO0000256</x:v>
      </x:c>
      <x:c r="B257" t="str">
        <x:v>2025-12-19</x:v>
      </x:c>
      <x:c r="C257" t="str">
        <x:v>2025-12-30</x:v>
      </x:c>
      <x:c r="D257" t="str">
        <x:v>2025-12-26</x:v>
      </x:c>
      <x:c r="E257" t="str">
        <x:v>Bay of Plenty</x:v>
      </x:c>
      <x:c r="F257" t="str">
        <x:v>Delivered</x:v>
      </x:c>
      <x:c r="G257" t="n">
        <x:v>43</x:v>
      </x:c>
      <x:c r="H257" t="n">
        <x:v>43</x:v>
      </x:c>
      <x:c r="I257" t="n">
        <x:v>0</x:v>
      </x:c>
      <x:c r="J257" t="n">
        <x:v>4297.18</x:v>
      </x:c>
      <x:c r="K257" t="n">
        <x:v>2895.93</x:v>
      </x:c>
      <x:c r="L257" t="n">
        <x:f>IFERROR(DATEVALUE(D257)-DATEVALUE(B257),"")</x:f>
        <x:v>7</x:v>
      </x:c>
      <x:c r="M257" t="n">
        <x:f>IFERROR(IF(AND(DATEVALUE(D257)&lt;=DATEVALUE(C257),I257=0),1,0),0)</x:f>
        <x:v>1</x:v>
      </x:c>
    </x:row>
    <x:row r="258">
      <x:c r="A258" t="str">
        <x:v>SO0000257</x:v>
      </x:c>
      <x:c r="B258" t="str">
        <x:v>2025-11-11</x:v>
      </x:c>
      <x:c r="C258" t="str">
        <x:v>2025-11-16</x:v>
      </x:c>
      <x:c r="D258" t="str">
        <x:v>2025-11-16</x:v>
      </x:c>
      <x:c r="E258" t="str">
        <x:v>Wellington</x:v>
      </x:c>
      <x:c r="F258" t="str">
        <x:v>Delivered</x:v>
      </x:c>
      <x:c r="G258" t="n">
        <x:v>45</x:v>
      </x:c>
      <x:c r="H258" t="n">
        <x:v>45</x:v>
      </x:c>
      <x:c r="I258" t="n">
        <x:v>0</x:v>
      </x:c>
      <x:c r="J258" t="n">
        <x:v>5260</x:v>
      </x:c>
      <x:c r="K258" t="n">
        <x:v>4290.3</x:v>
      </x:c>
      <x:c r="L258" t="n">
        <x:f>IFERROR(DATEVALUE(D258)-DATEVALUE(B258),"")</x:f>
        <x:v>5</x:v>
      </x:c>
      <x:c r="M258" t="n">
        <x:f>IFERROR(IF(AND(DATEVALUE(D258)&lt;=DATEVALUE(C258),I258=0),1,0),0)</x:f>
        <x:v>1</x:v>
      </x:c>
    </x:row>
    <x:row r="259">
      <x:c r="A259" t="str">
        <x:v>SO0000258</x:v>
      </x:c>
      <x:c r="B259" t="str">
        <x:v>2026-02-06</x:v>
      </x:c>
      <x:c r="C259" t="str">
        <x:v>2026-02-14</x:v>
      </x:c>
      <x:c r="D259" t="str">
        <x:v>2026-02-11</x:v>
      </x:c>
      <x:c r="E259" t="str">
        <x:v>Waikato</x:v>
      </x:c>
      <x:c r="F259" t="str">
        <x:v>Delivered</x:v>
      </x:c>
      <x:c r="G259" t="n">
        <x:v>60</x:v>
      </x:c>
      <x:c r="H259" t="n">
        <x:v>60</x:v>
      </x:c>
      <x:c r="I259" t="n">
        <x:v>0</x:v>
      </x:c>
      <x:c r="J259" t="n">
        <x:v>8091.6</x:v>
      </x:c>
      <x:c r="K259" t="n">
        <x:v>6109.5</x:v>
      </x:c>
      <x:c r="L259" t="n">
        <x:f>IFERROR(DATEVALUE(D259)-DATEVALUE(B259),"")</x:f>
        <x:v>5</x:v>
      </x:c>
      <x:c r="M259" t="n">
        <x:f>IFERROR(IF(AND(DATEVALUE(D259)&lt;=DATEVALUE(C259),I259=0),1,0),0)</x:f>
        <x:v>1</x:v>
      </x:c>
    </x:row>
    <x:row r="260">
      <x:c r="A260" t="str">
        <x:v>SO0000259</x:v>
      </x:c>
      <x:c r="B260" t="str">
        <x:v>2025-08-07</x:v>
      </x:c>
      <x:c r="C260" t="str">
        <x:v>2025-08-12</x:v>
      </x:c>
      <x:c r="D260" t="str">
        <x:v>2025-08-10</x:v>
      </x:c>
      <x:c r="E260" t="str">
        <x:v>Wellington</x:v>
      </x:c>
      <x:c r="F260" t="str">
        <x:v>Delivered</x:v>
      </x:c>
      <x:c r="G260" t="n">
        <x:v>10</x:v>
      </x:c>
      <x:c r="H260" t="n">
        <x:v>10</x:v>
      </x:c>
      <x:c r="I260" t="n">
        <x:v>0</x:v>
      </x:c>
      <x:c r="J260" t="n">
        <x:v>1228.7</x:v>
      </x:c>
      <x:c r="K260" t="n">
        <x:v>987.4</x:v>
      </x:c>
      <x:c r="L260" t="n">
        <x:f>IFERROR(DATEVALUE(D260)-DATEVALUE(B260),"")</x:f>
        <x:v>3</x:v>
      </x:c>
      <x:c r="M260" t="n">
        <x:f>IFERROR(IF(AND(DATEVALUE(D260)&lt;=DATEVALUE(C260),I260=0),1,0),0)</x:f>
        <x:v>1</x:v>
      </x:c>
    </x:row>
    <x:row r="261">
      <x:c r="A261" t="str">
        <x:v>SO0000260</x:v>
      </x:c>
      <x:c r="B261" t="str">
        <x:v>2026-08-27</x:v>
      </x:c>
      <x:c r="C261" t="str">
        <x:v>2026-09-03</x:v>
      </x:c>
      <x:c r="D261" t="str">
        <x:v>2026-09-02</x:v>
      </x:c>
      <x:c r="E261" t="str">
        <x:v>Waikato</x:v>
      </x:c>
      <x:c r="F261" t="str">
        <x:v>Partially Delivered</x:v>
      </x:c>
      <x:c r="G261" t="n">
        <x:v>48</x:v>
      </x:c>
      <x:c r="H261" t="n">
        <x:v>8</x:v>
      </x:c>
      <x:c r="I261" t="n">
        <x:v>40</x:v>
      </x:c>
      <x:c r="J261" t="n">
        <x:v>513.04</x:v>
      </x:c>
      <x:c r="K261" t="n">
        <x:v>368.16</x:v>
      </x:c>
      <x:c r="L261" t="n">
        <x:f>IFERROR(DATEVALUE(D261)-DATEVALUE(B261),"")</x:f>
        <x:v>6</x:v>
      </x:c>
      <x:c r="M261" t="n">
        <x:f>IFERROR(IF(AND(DATEVALUE(D261)&lt;=DATEVALUE(C261),I261=0),1,0),0)</x:f>
        <x:v>0</x:v>
      </x:c>
    </x:row>
    <x:row r="262">
      <x:c r="A262" t="str">
        <x:v>SO0000261</x:v>
      </x:c>
      <x:c r="B262" t="str">
        <x:v>2026-01-07</x:v>
      </x:c>
      <x:c r="C262" t="str">
        <x:v>2026-01-13</x:v>
      </x:c>
      <x:c r="D262" t="str">
        <x:v>2026-01-13</x:v>
      </x:c>
      <x:c r="E262" t="str">
        <x:v>Auckland</x:v>
      </x:c>
      <x:c r="F262" t="str">
        <x:v>Partially Delivered</x:v>
      </x:c>
      <x:c r="G262" t="n">
        <x:v>38</x:v>
      </x:c>
      <x:c r="H262" t="n">
        <x:v>26</x:v>
      </x:c>
      <x:c r="I262" t="n">
        <x:v>12</x:v>
      </x:c>
      <x:c r="J262" t="n">
        <x:v>1615.32</x:v>
      </x:c>
      <x:c r="K262" t="n">
        <x:v>1320.88</x:v>
      </x:c>
      <x:c r="L262" t="n">
        <x:f>IFERROR(DATEVALUE(D262)-DATEVALUE(B262),"")</x:f>
        <x:v>6</x:v>
      </x:c>
      <x:c r="M262" t="n">
        <x:f>IFERROR(IF(AND(DATEVALUE(D262)&lt;=DATEVALUE(C262),I262=0),1,0),0)</x:f>
        <x:v>0</x:v>
      </x:c>
    </x:row>
    <x:row r="263">
      <x:c r="A263" t="str">
        <x:v>SO0000262</x:v>
      </x:c>
      <x:c r="B263" t="str">
        <x:v>2025-07-26</x:v>
      </x:c>
      <x:c r="C263" t="str">
        <x:v>2025-08-05</x:v>
      </x:c>
      <x:c r="D263" t="str">
        <x:v>2025-07-29</x:v>
      </x:c>
      <x:c r="E263" t="str">
        <x:v>Waikato</x:v>
      </x:c>
      <x:c r="F263" t="str">
        <x:v>Delivered</x:v>
      </x:c>
      <x:c r="G263" t="n">
        <x:v>30</x:v>
      </x:c>
      <x:c r="H263" t="n">
        <x:v>30</x:v>
      </x:c>
      <x:c r="I263" t="n">
        <x:v>0</x:v>
      </x:c>
      <x:c r="J263" t="n">
        <x:v>2573.7</x:v>
      </x:c>
      <x:c r="K263" t="n">
        <x:v>1680.9</x:v>
      </x:c>
      <x:c r="L263" t="n">
        <x:f>IFERROR(DATEVALUE(D263)-DATEVALUE(B263),"")</x:f>
        <x:v>3</x:v>
      </x:c>
      <x:c r="M263" t="n">
        <x:f>IFERROR(IF(AND(DATEVALUE(D263)&lt;=DATEVALUE(C263),I263=0),1,0),0)</x:f>
        <x:v>1</x:v>
      </x:c>
    </x:row>
    <x:row r="264">
      <x:c r="A264" t="str">
        <x:v>SO0000263</x:v>
      </x:c>
      <x:c r="B264" t="str">
        <x:v>2025-09-05</x:v>
      </x:c>
      <x:c r="C264" t="str">
        <x:v>2025-09-16</x:v>
      </x:c>
      <x:c r="D264" t="str">
        <x:v>2025-09-10</x:v>
      </x:c>
      <x:c r="E264" t="str">
        <x:v>Auckland</x:v>
      </x:c>
      <x:c r="F264" t="str">
        <x:v>Delivered</x:v>
      </x:c>
      <x:c r="G264" t="n">
        <x:v>70</x:v>
      </x:c>
      <x:c r="H264" t="n">
        <x:v>70</x:v>
      </x:c>
      <x:c r="I264" t="n">
        <x:v>0</x:v>
      </x:c>
      <x:c r="J264" t="n">
        <x:v>6805.1</x:v>
      </x:c>
      <x:c r="K264" t="n">
        <x:v>4608.7</x:v>
      </x:c>
      <x:c r="L264" t="n">
        <x:f>IFERROR(DATEVALUE(D264)-DATEVALUE(B264),"")</x:f>
        <x:v>5</x:v>
      </x:c>
      <x:c r="M264" t="n">
        <x:f>IFERROR(IF(AND(DATEVALUE(D264)&lt;=DATEVALUE(C264),I264=0),1,0),0)</x:f>
        <x:v>1</x:v>
      </x:c>
    </x:row>
    <x:row r="265">
      <x:c r="A265" t="str">
        <x:v>SO0000264</x:v>
      </x:c>
      <x:c r="B265" t="str">
        <x:v>2024-12-10</x:v>
      </x:c>
      <x:c r="C265" t="str">
        <x:v>2024-12-21</x:v>
      </x:c>
      <x:c r="D265" t="str">
        <x:v>2024-12-17</x:v>
      </x:c>
      <x:c r="E265" t="str">
        <x:v>Waikato</x:v>
      </x:c>
      <x:c r="F265" t="str">
        <x:v>Delivered</x:v>
      </x:c>
      <x:c r="G265" t="n">
        <x:v>13</x:v>
      </x:c>
      <x:c r="H265" t="n">
        <x:v>13</x:v>
      </x:c>
      <x:c r="I265" t="n">
        <x:v>0</x:v>
      </x:c>
      <x:c r="J265" t="n">
        <x:v>1987.69</x:v>
      </x:c>
      <x:c r="K265" t="n">
        <x:v>1387.15</x:v>
      </x:c>
      <x:c r="L265" t="n">
        <x:f>IFERROR(DATEVALUE(D265)-DATEVALUE(B265),"")</x:f>
        <x:v>7</x:v>
      </x:c>
      <x:c r="M265" t="n">
        <x:f>IFERROR(IF(AND(DATEVALUE(D265)&lt;=DATEVALUE(C265),I265=0),1,0),0)</x:f>
        <x:v>1</x:v>
      </x:c>
    </x:row>
    <x:row r="266">
      <x:c r="A266" t="str">
        <x:v>SO0000265</x:v>
      </x:c>
      <x:c r="B266" t="str">
        <x:v>2025-09-18</x:v>
      </x:c>
      <x:c r="C266" t="str">
        <x:v>2025-09-27</x:v>
      </x:c>
      <x:c r="D266" t="str">
        <x:v>2025-09-23</x:v>
      </x:c>
      <x:c r="E266" t="str">
        <x:v>Wellington</x:v>
      </x:c>
      <x:c r="F266" t="str">
        <x:v>Delivered</x:v>
      </x:c>
      <x:c r="G266" t="n">
        <x:v>48</x:v>
      </x:c>
      <x:c r="H266" t="n">
        <x:v>48</x:v>
      </x:c>
      <x:c r="I266" t="n">
        <x:v>0</x:v>
      </x:c>
      <x:c r="J266" t="n">
        <x:v>1407.12</x:v>
      </x:c>
      <x:c r="K266" t="n">
        <x:v>1156.48</x:v>
      </x:c>
      <x:c r="L266" t="n">
        <x:f>IFERROR(DATEVALUE(D266)-DATEVALUE(B266),"")</x:f>
        <x:v>5</x:v>
      </x:c>
      <x:c r="M266" t="n">
        <x:f>IFERROR(IF(AND(DATEVALUE(D266)&lt;=DATEVALUE(C266),I266=0),1,0),0)</x:f>
        <x:v>1</x:v>
      </x:c>
    </x:row>
    <x:row r="267">
      <x:c r="A267" t="str">
        <x:v>SO0000266</x:v>
      </x:c>
      <x:c r="B267" t="str">
        <x:v>2026-01-09</x:v>
      </x:c>
      <x:c r="C267" t="str">
        <x:v>2026-01-19</x:v>
      </x:c>
      <x:c r="D267" t="str">
        <x:v>2026-01-13</x:v>
      </x:c>
      <x:c r="E267" t="str">
        <x:v>Bay of Plenty</x:v>
      </x:c>
      <x:c r="F267" t="str">
        <x:v>Delivered</x:v>
      </x:c>
      <x:c r="G267" t="n">
        <x:v>58</x:v>
      </x:c>
      <x:c r="H267" t="n">
        <x:v>58</x:v>
      </x:c>
      <x:c r="I267" t="n">
        <x:v>0</x:v>
      </x:c>
      <x:c r="J267" t="n">
        <x:v>7076.68</x:v>
      </x:c>
      <x:c r="K267" t="n">
        <x:v>5338.9</x:v>
      </x:c>
      <x:c r="L267" t="n">
        <x:f>IFERROR(DATEVALUE(D267)-DATEVALUE(B267),"")</x:f>
        <x:v>4</x:v>
      </x:c>
      <x:c r="M267" t="n">
        <x:f>IFERROR(IF(AND(DATEVALUE(D267)&lt;=DATEVALUE(C267),I267=0),1,0),0)</x:f>
        <x:v>1</x:v>
      </x:c>
    </x:row>
    <x:row r="268">
      <x:c r="A268" t="str">
        <x:v>SO0000267</x:v>
      </x:c>
      <x:c r="B268" t="str">
        <x:v>2026-09-03</x:v>
      </x:c>
      <x:c r="C268" t="str">
        <x:v>2026-09-13</x:v>
      </x:c>
      <x:c r="D268" t="str">
        <x:v>2026-09-09</x:v>
      </x:c>
      <x:c r="E268" t="str">
        <x:v>Waikato</x:v>
      </x:c>
      <x:c r="F268" t="str">
        <x:v>Partially Delivered</x:v>
      </x:c>
      <x:c r="G268" t="n">
        <x:v>43</x:v>
      </x:c>
      <x:c r="H268" t="n">
        <x:v>35</x:v>
      </x:c>
      <x:c r="I268" t="n">
        <x:v>8</x:v>
      </x:c>
      <x:c r="J268" t="n">
        <x:v>3706.75</x:v>
      </x:c>
      <x:c r="K268" t="n">
        <x:v>2506.34</x:v>
      </x:c>
      <x:c r="L268" t="n">
        <x:f>IFERROR(DATEVALUE(D268)-DATEVALUE(B268),"")</x:f>
        <x:v>6</x:v>
      </x:c>
      <x:c r="M268" t="n">
        <x:f>IFERROR(IF(AND(DATEVALUE(D268)&lt;=DATEVALUE(C268),I268=0),1,0),0)</x:f>
        <x:v>0</x:v>
      </x:c>
    </x:row>
    <x:row r="269">
      <x:c r="A269" t="str">
        <x:v>SO0000268</x:v>
      </x:c>
      <x:c r="B269" t="str">
        <x:v>2024-12-20</x:v>
      </x:c>
      <x:c r="C269" t="str">
        <x:v>2024-12-29</x:v>
      </x:c>
      <x:c r="D269" t="str">
        <x:v>2024-12-26</x:v>
      </x:c>
      <x:c r="E269" t="str">
        <x:v>Bay of Plenty</x:v>
      </x:c>
      <x:c r="F269" t="str">
        <x:v>Delivered</x:v>
      </x:c>
      <x:c r="G269" t="n">
        <x:v>88</x:v>
      </x:c>
      <x:c r="H269" t="n">
        <x:v>88</x:v>
      </x:c>
      <x:c r="I269" t="n">
        <x:v>0</x:v>
      </x:c>
      <x:c r="J269" t="n">
        <x:v>5417.26</x:v>
      </x:c>
      <x:c r="K269" t="n">
        <x:v>3969.28</x:v>
      </x:c>
      <x:c r="L269" t="n">
        <x:f>IFERROR(DATEVALUE(D269)-DATEVALUE(B269),"")</x:f>
        <x:v>6</x:v>
      </x:c>
      <x:c r="M269" t="n">
        <x:f>IFERROR(IF(AND(DATEVALUE(D269)&lt;=DATEVALUE(C269),I269=0),1,0),0)</x:f>
        <x:v>1</x:v>
      </x:c>
    </x:row>
    <x:row r="270">
      <x:c r="A270" t="str">
        <x:v>SO0000269</x:v>
      </x:c>
      <x:c r="B270" t="str">
        <x:v>2025-11-21</x:v>
      </x:c>
      <x:c r="C270" t="str">
        <x:v>2025-12-01</x:v>
      </x:c>
      <x:c r="D270" t="str">
        <x:v>2025-11-26</x:v>
      </x:c>
      <x:c r="E270" t="str">
        <x:v>Bay of Plenty</x:v>
      </x:c>
      <x:c r="F270" t="str">
        <x:v>Delivered</x:v>
      </x:c>
      <x:c r="G270" t="n">
        <x:v>53</x:v>
      </x:c>
      <x:c r="H270" t="n">
        <x:v>53</x:v>
      </x:c>
      <x:c r="I270" t="n">
        <x:v>0</x:v>
      </x:c>
      <x:c r="J270" t="n">
        <x:v>7127.7</x:v>
      </x:c>
      <x:c r="K270" t="n">
        <x:v>5246.78</x:v>
      </x:c>
      <x:c r="L270" t="n">
        <x:f>IFERROR(DATEVALUE(D270)-DATEVALUE(B270),"")</x:f>
        <x:v>5</x:v>
      </x:c>
      <x:c r="M270" t="n">
        <x:f>IFERROR(IF(AND(DATEVALUE(D270)&lt;=DATEVALUE(C270),I270=0),1,0),0)</x:f>
        <x:v>1</x:v>
      </x:c>
    </x:row>
    <x:row r="271">
      <x:c r="A271" t="str">
        <x:v>SO0000270</x:v>
      </x:c>
      <x:c r="B271" t="str">
        <x:v>2025-12-19</x:v>
      </x:c>
      <x:c r="C271" t="str">
        <x:v>2025-12-27</x:v>
      </x:c>
      <x:c r="D271" t="str">
        <x:v>2025-12-23</x:v>
      </x:c>
      <x:c r="E271" t="str">
        <x:v>Canterbury</x:v>
      </x:c>
      <x:c r="F271" t="str">
        <x:v>Partially Delivered</x:v>
      </x:c>
      <x:c r="G271" t="n">
        <x:v>28</x:v>
      </x:c>
      <x:c r="H271" t="n">
        <x:v>20</x:v>
      </x:c>
      <x:c r="I271" t="n">
        <x:v>8</x:v>
      </x:c>
      <x:c r="J271" t="n">
        <x:v>1262.4</x:v>
      </x:c>
      <x:c r="K271" t="n">
        <x:v>1024</x:v>
      </x:c>
      <x:c r="L271" t="n">
        <x:f>IFERROR(DATEVALUE(D271)-DATEVALUE(B271),"")</x:f>
        <x:v>4</x:v>
      </x:c>
      <x:c r="M271" t="n">
        <x:f>IFERROR(IF(AND(DATEVALUE(D271)&lt;=DATEVALUE(C271),I271=0),1,0),0)</x:f>
        <x:v>0</x:v>
      </x:c>
    </x:row>
    <x:row r="272">
      <x:c r="A272" t="str">
        <x:v>SO0000271</x:v>
      </x:c>
      <x:c r="B272" t="str">
        <x:v>2026-07-31</x:v>
      </x:c>
      <x:c r="C272" t="str">
        <x:v>2026-08-08</x:v>
      </x:c>
      <x:c r="D272" t="str">
        <x:v>2026-08-07</x:v>
      </x:c>
      <x:c r="E272" t="str">
        <x:v>Canterbury</x:v>
      </x:c>
      <x:c r="F272" t="str">
        <x:v>Delivered</x:v>
      </x:c>
      <x:c r="G272" t="n">
        <x:v>23</x:v>
      </x:c>
      <x:c r="H272" t="n">
        <x:v>23</x:v>
      </x:c>
      <x:c r="I272" t="n">
        <x:v>0</x:v>
      </x:c>
      <x:c r="J272" t="n">
        <x:v>865.38</x:v>
      </x:c>
      <x:c r="K272" t="n">
        <x:v>663.62</x:v>
      </x:c>
      <x:c r="L272" t="n">
        <x:f>IFERROR(DATEVALUE(D272)-DATEVALUE(B272),"")</x:f>
        <x:v>7</x:v>
      </x:c>
      <x:c r="M272" t="n">
        <x:f>IFERROR(IF(AND(DATEVALUE(D272)&lt;=DATEVALUE(C272),I272=0),1,0),0)</x:f>
        <x:v>1</x:v>
      </x:c>
    </x:row>
    <x:row r="273">
      <x:c r="A273" t="str">
        <x:v>SO0000272</x:v>
      </x:c>
      <x:c r="B273" t="str">
        <x:v>2026-07-16</x:v>
      </x:c>
      <x:c r="C273" t="str">
        <x:v>2026-07-26</x:v>
      </x:c>
      <x:c r="D273" t="str">
        <x:v>2026-07-19</x:v>
      </x:c>
      <x:c r="E273" t="str">
        <x:v>Auckland</x:v>
      </x:c>
      <x:c r="F273" t="str">
        <x:v>Partially Delivered</x:v>
      </x:c>
      <x:c r="G273" t="n">
        <x:v>60</x:v>
      </x:c>
      <x:c r="H273" t="n">
        <x:v>45</x:v>
      </x:c>
      <x:c r="I273" t="n">
        <x:v>15</x:v>
      </x:c>
      <x:c r="J273" t="n">
        <x:v>1630.25</x:v>
      </x:c>
      <x:c r="K273" t="n">
        <x:v>1210.75</x:v>
      </x:c>
      <x:c r="L273" t="n">
        <x:f>IFERROR(DATEVALUE(D273)-DATEVALUE(B273),"")</x:f>
        <x:v>3</x:v>
      </x:c>
      <x:c r="M273" t="n">
        <x:f>IFERROR(IF(AND(DATEVALUE(D273)&lt;=DATEVALUE(C273),I273=0),1,0),0)</x:f>
        <x:v>0</x:v>
      </x:c>
    </x:row>
    <x:row r="274">
      <x:c r="A274" t="str">
        <x:v>SO0000273</x:v>
      </x:c>
      <x:c r="B274" t="str">
        <x:v>2026-04-03</x:v>
      </x:c>
      <x:c r="C274" t="str">
        <x:v>2026-04-14</x:v>
      </x:c>
      <x:c r="D274" t="str">
        <x:v>2026-04-08</x:v>
      </x:c>
      <x:c r="E274" t="str">
        <x:v>Wellington</x:v>
      </x:c>
      <x:c r="F274" t="str">
        <x:v>Partially Delivered</x:v>
      </x:c>
      <x:c r="G274" t="n">
        <x:v>60</x:v>
      </x:c>
      <x:c r="H274" t="n">
        <x:v>14</x:v>
      </x:c>
      <x:c r="I274" t="n">
        <x:v>46</x:v>
      </x:c>
      <x:c r="J274" t="n">
        <x:v>1204.98</x:v>
      </x:c>
      <x:c r="K274" t="n">
        <x:v>823.62</x:v>
      </x:c>
      <x:c r="L274" t="n">
        <x:f>IFERROR(DATEVALUE(D274)-DATEVALUE(B274),"")</x:f>
        <x:v>5</x:v>
      </x:c>
      <x:c r="M274" t="n">
        <x:f>IFERROR(IF(AND(DATEVALUE(D274)&lt;=DATEVALUE(C274),I274=0),1,0),0)</x:f>
        <x:v>0</x:v>
      </x:c>
    </x:row>
    <x:row r="275">
      <x:c r="A275" t="str">
        <x:v>SO0000274</x:v>
      </x:c>
      <x:c r="B275" t="str">
        <x:v>2025-12-28</x:v>
      </x:c>
      <x:c r="C275" t="str">
        <x:v>2026-01-07</x:v>
      </x:c>
      <x:c r="D275" t="str">
        <x:v>2026-01-01</x:v>
      </x:c>
      <x:c r="E275" t="str">
        <x:v>Bay of Plenty</x:v>
      </x:c>
      <x:c r="F275" t="str">
        <x:v>Partially Delivered</x:v>
      </x:c>
      <x:c r="G275" t="n">
        <x:v>40</x:v>
      </x:c>
      <x:c r="H275" t="n">
        <x:v>10</x:v>
      </x:c>
      <x:c r="I275" t="n">
        <x:v>30</x:v>
      </x:c>
      <x:c r="J275" t="n">
        <x:v>1088</x:v>
      </x:c>
      <x:c r="K275" t="n">
        <x:v>761.4</x:v>
      </x:c>
      <x:c r="L275" t="n">
        <x:f>IFERROR(DATEVALUE(D275)-DATEVALUE(B275),"")</x:f>
        <x:v>4</x:v>
      </x:c>
      <x:c r="M275" t="n">
        <x:f>IFERROR(IF(AND(DATEVALUE(D275)&lt;=DATEVALUE(C275),I275=0),1,0),0)</x:f>
        <x:v>0</x:v>
      </x:c>
    </x:row>
    <x:row r="276">
      <x:c r="A276" t="str">
        <x:v>SO0000275</x:v>
      </x:c>
      <x:c r="B276" t="str">
        <x:v>2025-01-09</x:v>
      </x:c>
      <x:c r="C276" t="str">
        <x:v>2025-01-20</x:v>
      </x:c>
      <x:c r="D276" t="str">
        <x:v>2025-01-16</x:v>
      </x:c>
      <x:c r="E276" t="str">
        <x:v>Canterbury</x:v>
      </x:c>
      <x:c r="F276" t="str">
        <x:v>Delivered</x:v>
      </x:c>
      <x:c r="G276" t="n">
        <x:v>11</x:v>
      </x:c>
      <x:c r="H276" t="n">
        <x:v>11</x:v>
      </x:c>
      <x:c r="I276" t="n">
        <x:v>0</x:v>
      </x:c>
      <x:c r="J276" t="n">
        <x:v>777.91</x:v>
      </x:c>
      <x:c r="K276" t="n">
        <x:v>567.27</x:v>
      </x:c>
      <x:c r="L276" t="n">
        <x:f>IFERROR(DATEVALUE(D276)-DATEVALUE(B276),"")</x:f>
        <x:v>7</x:v>
      </x:c>
      <x:c r="M276" t="n">
        <x:f>IFERROR(IF(AND(DATEVALUE(D276)&lt;=DATEVALUE(C276),I276=0),1,0),0)</x:f>
        <x:v>1</x:v>
      </x:c>
    </x:row>
    <x:row r="277">
      <x:c r="A277" t="str">
        <x:v>SO0000276</x:v>
      </x:c>
      <x:c r="B277" t="str">
        <x:v>2025-02-11</x:v>
      </x:c>
      <x:c r="C277" t="str">
        <x:v>2025-02-18</x:v>
      </x:c>
      <x:c r="D277" t="str">
        <x:v>2025-02-16</x:v>
      </x:c>
      <x:c r="E277" t="str">
        <x:v>Wellington</x:v>
      </x:c>
      <x:c r="F277" t="str">
        <x:v>Delivered</x:v>
      </x:c>
      <x:c r="G277" t="n">
        <x:v>35</x:v>
      </x:c>
      <x:c r="H277" t="n">
        <x:v>35</x:v>
      </x:c>
      <x:c r="I277" t="n">
        <x:v>0</x:v>
      </x:c>
      <x:c r="J277" t="n">
        <x:v>6283.05</x:v>
      </x:c>
      <x:c r="K277" t="n">
        <x:v>4615.55</x:v>
      </x:c>
      <x:c r="L277" t="n">
        <x:f>IFERROR(DATEVALUE(D277)-DATEVALUE(B277),"")</x:f>
        <x:v>5</x:v>
      </x:c>
      <x:c r="M277" t="n">
        <x:f>IFERROR(IF(AND(DATEVALUE(D277)&lt;=DATEVALUE(C277),I277=0),1,0),0)</x:f>
        <x:v>1</x:v>
      </x:c>
    </x:row>
    <x:row r="278">
      <x:c r="A278" t="str">
        <x:v>SO0000277</x:v>
      </x:c>
      <x:c r="B278" t="str">
        <x:v>2026-09-14</x:v>
      </x:c>
      <x:c r="C278" t="str">
        <x:v>2026-09-21</x:v>
      </x:c>
      <x:c r="D278" t="str">
        <x:v>2026-09-17</x:v>
      </x:c>
      <x:c r="E278" t="str">
        <x:v>Auckland</x:v>
      </x:c>
      <x:c r="F278" t="str">
        <x:v>Delivered</x:v>
      </x:c>
      <x:c r="G278" t="n">
        <x:v>33</x:v>
      </x:c>
      <x:c r="H278" t="n">
        <x:v>33</x:v>
      </x:c>
      <x:c r="I278" t="n">
        <x:v>0</x:v>
      </x:c>
      <x:c r="J278" t="n">
        <x:v>2864.29</x:v>
      </x:c>
      <x:c r="K278" t="n">
        <x:v>2309.64</x:v>
      </x:c>
      <x:c r="L278" t="n">
        <x:f>IFERROR(DATEVALUE(D278)-DATEVALUE(B278),"")</x:f>
        <x:v>3</x:v>
      </x:c>
      <x:c r="M278" t="n">
        <x:f>IFERROR(IF(AND(DATEVALUE(D278)&lt;=DATEVALUE(C278),I278=0),1,0),0)</x:f>
        <x:v>1</x:v>
      </x:c>
    </x:row>
    <x:row r="279">
      <x:c r="A279" t="str">
        <x:v>SO0000278</x:v>
      </x:c>
      <x:c r="B279" t="str">
        <x:v>2025-08-24</x:v>
      </x:c>
      <x:c r="C279" t="str">
        <x:v>2025-08-30</x:v>
      </x:c>
      <x:c r="D279" t="str">
        <x:v>2025-08-27</x:v>
      </x:c>
      <x:c r="E279" t="str">
        <x:v>Waikato</x:v>
      </x:c>
      <x:c r="F279" t="str">
        <x:v>Partially Delivered</x:v>
      </x:c>
      <x:c r="G279" t="n">
        <x:v>70</x:v>
      </x:c>
      <x:c r="H279" t="n">
        <x:v>66</x:v>
      </x:c>
      <x:c r="I279" t="n">
        <x:v>4</x:v>
      </x:c>
      <x:c r="J279" t="n">
        <x:v>5867.4</x:v>
      </x:c>
      <x:c r="K279" t="n">
        <x:v>4177.34</x:v>
      </x:c>
      <x:c r="L279" t="n">
        <x:f>IFERROR(DATEVALUE(D279)-DATEVALUE(B279),"")</x:f>
        <x:v>3</x:v>
      </x:c>
      <x:c r="M279" t="n">
        <x:f>IFERROR(IF(AND(DATEVALUE(D279)&lt;=DATEVALUE(C279),I279=0),1,0),0)</x:f>
        <x:v>0</x:v>
      </x:c>
    </x:row>
    <x:row r="280">
      <x:c r="A280" t="str">
        <x:v>SO0000279</x:v>
      </x:c>
      <x:c r="B280" t="str">
        <x:v>2025-06-11</x:v>
      </x:c>
      <x:c r="C280" t="str">
        <x:v>2025-06-17</x:v>
      </x:c>
      <x:c r="D280" t="str">
        <x:v>2025-06-16</x:v>
      </x:c>
      <x:c r="E280" t="str">
        <x:v>Wellington</x:v>
      </x:c>
      <x:c r="F280" t="str">
        <x:v>Delivered</x:v>
      </x:c>
      <x:c r="G280" t="n">
        <x:v>25</x:v>
      </x:c>
      <x:c r="H280" t="n">
        <x:v>25</x:v>
      </x:c>
      <x:c r="I280" t="n">
        <x:v>0</x:v>
      </x:c>
      <x:c r="J280" t="n">
        <x:v>3958.05</x:v>
      </x:c>
      <x:c r="K280" t="n">
        <x:v>3126.4</x:v>
      </x:c>
      <x:c r="L280" t="n">
        <x:f>IFERROR(DATEVALUE(D280)-DATEVALUE(B280),"")</x:f>
        <x:v>5</x:v>
      </x:c>
      <x:c r="M280" t="n">
        <x:f>IFERROR(IF(AND(DATEVALUE(D280)&lt;=DATEVALUE(C280),I280=0),1,0),0)</x:f>
        <x:v>1</x:v>
      </x:c>
    </x:row>
    <x:row r="281">
      <x:c r="A281" t="str">
        <x:v>SO0000280</x:v>
      </x:c>
      <x:c r="B281" t="str">
        <x:v>2024-11-23</x:v>
      </x:c>
      <x:c r="C281" t="str">
        <x:v>2024-12-01</x:v>
      </x:c>
      <x:c r="D281" t="str">
        <x:v>2024-11-29</x:v>
      </x:c>
      <x:c r="E281" t="str">
        <x:v>Wellington</x:v>
      </x:c>
      <x:c r="F281" t="str">
        <x:v>Delivered</x:v>
      </x:c>
      <x:c r="G281" t="n">
        <x:v>70</x:v>
      </x:c>
      <x:c r="H281" t="n">
        <x:v>70</x:v>
      </x:c>
      <x:c r="I281" t="n">
        <x:v>0</x:v>
      </x:c>
      <x:c r="J281" t="n">
        <x:v>5844</x:v>
      </x:c>
      <x:c r="K281" t="n">
        <x:v>4470.7</x:v>
      </x:c>
      <x:c r="L281" t="n">
        <x:f>IFERROR(DATEVALUE(D281)-DATEVALUE(B281),"")</x:f>
        <x:v>6</x:v>
      </x:c>
      <x:c r="M281" t="n">
        <x:f>IFERROR(IF(AND(DATEVALUE(D281)&lt;=DATEVALUE(C281),I281=0),1,0),0)</x:f>
        <x:v>1</x:v>
      </x:c>
    </x:row>
    <x:row r="282">
      <x:c r="A282" t="str">
        <x:v>SO0000281</x:v>
      </x:c>
      <x:c r="B282" t="str">
        <x:v>2025-01-30</x:v>
      </x:c>
      <x:c r="C282" t="str">
        <x:v>2025-02-09</x:v>
      </x:c>
      <x:c r="D282" t="str">
        <x:v>2025-02-05</x:v>
      </x:c>
      <x:c r="E282" t="str">
        <x:v>Canterbury</x:v>
      </x:c>
      <x:c r="F282" t="str">
        <x:v>Delivered</x:v>
      </x:c>
      <x:c r="G282" t="n">
        <x:v>25</x:v>
      </x:c>
      <x:c r="H282" t="n">
        <x:v>25</x:v>
      </x:c>
      <x:c r="I282" t="n">
        <x:v>0</x:v>
      </x:c>
      <x:c r="J282" t="n">
        <x:v>2564.3</x:v>
      </x:c>
      <x:c r="K282" t="n">
        <x:v>1804.5</x:v>
      </x:c>
      <x:c r="L282" t="n">
        <x:f>IFERROR(DATEVALUE(D282)-DATEVALUE(B282),"")</x:f>
        <x:v>6</x:v>
      </x:c>
      <x:c r="M282" t="n">
        <x:f>IFERROR(IF(AND(DATEVALUE(D282)&lt;=DATEVALUE(C282),I282=0),1,0),0)</x:f>
        <x:v>1</x:v>
      </x:c>
    </x:row>
    <x:row r="283">
      <x:c r="A283" t="str">
        <x:v>SO0000282</x:v>
      </x:c>
      <x:c r="B283" t="str">
        <x:v>2024-11-01</x:v>
      </x:c>
      <x:c r="C283" t="str">
        <x:v>2024-11-06</x:v>
      </x:c>
      <x:c r="D283" t="str">
        <x:v>2024-11-08</x:v>
      </x:c>
      <x:c r="E283" t="str">
        <x:v>Wellington</x:v>
      </x:c>
      <x:c r="F283" t="str">
        <x:v>Delivered</x:v>
      </x:c>
      <x:c r="G283" t="n">
        <x:v>25</x:v>
      </x:c>
      <x:c r="H283" t="n">
        <x:v>25</x:v>
      </x:c>
      <x:c r="I283" t="n">
        <x:v>0</x:v>
      </x:c>
      <x:c r="J283" t="n">
        <x:v>1874.85</x:v>
      </x:c>
      <x:c r="K283" t="n">
        <x:v>1395.45</x:v>
      </x:c>
      <x:c r="L283" t="n">
        <x:f>IFERROR(DATEVALUE(D283)-DATEVALUE(B283),"")</x:f>
        <x:v>7</x:v>
      </x:c>
      <x:c r="M283" t="n">
        <x:f>IFERROR(IF(AND(DATEVALUE(D283)&lt;=DATEVALUE(C283),I283=0),1,0),0)</x:f>
        <x:v>0</x:v>
      </x:c>
    </x:row>
    <x:row r="284">
      <x:c r="A284" t="str">
        <x:v>SO0000283</x:v>
      </x:c>
      <x:c r="B284" t="str">
        <x:v>2025-11-27</x:v>
      </x:c>
      <x:c r="C284" t="str">
        <x:v>2025-12-04</x:v>
      </x:c>
      <x:c r="D284" t="str">
        <x:v>2025-12-01</x:v>
      </x:c>
      <x:c r="E284" t="str">
        <x:v>Canterbury</x:v>
      </x:c>
      <x:c r="F284" t="str">
        <x:v>Delivered</x:v>
      </x:c>
      <x:c r="G284" t="n">
        <x:v>5</x:v>
      </x:c>
      <x:c r="H284" t="n">
        <x:v>5</x:v>
      </x:c>
      <x:c r="I284" t="n">
        <x:v>0</x:v>
      </x:c>
      <x:c r="J284" t="n">
        <x:v>289.55</x:v>
      </x:c>
      <x:c r="K284" t="n">
        <x:v>242.75</x:v>
      </x:c>
      <x:c r="L284" t="n">
        <x:f>IFERROR(DATEVALUE(D284)-DATEVALUE(B284),"")</x:f>
        <x:v>4</x:v>
      </x:c>
      <x:c r="M284" t="n">
        <x:f>IFERROR(IF(AND(DATEVALUE(D284)&lt;=DATEVALUE(C284),I284=0),1,0),0)</x:f>
        <x:v>1</x:v>
      </x:c>
    </x:row>
    <x:row r="285">
      <x:c r="A285" t="str">
        <x:v>SO0000284</x:v>
      </x:c>
      <x:c r="B285" t="str">
        <x:v>2025-05-15</x:v>
      </x:c>
      <x:c r="C285" t="str">
        <x:v>2025-05-20</x:v>
      </x:c>
      <x:c r="D285" t="str">
        <x:v>2025-05-21</x:v>
      </x:c>
      <x:c r="E285" t="str">
        <x:v>Bay of Plenty</x:v>
      </x:c>
      <x:c r="F285" t="str">
        <x:v>Delivered</x:v>
      </x:c>
      <x:c r="G285" t="n">
        <x:v>28</x:v>
      </x:c>
      <x:c r="H285" t="n">
        <x:v>28</x:v>
      </x:c>
      <x:c r="I285" t="n">
        <x:v>0</x:v>
      </x:c>
      <x:c r="J285" t="n">
        <x:v>2809.4</x:v>
      </x:c>
      <x:c r="K285" t="n">
        <x:v>2341.88</x:v>
      </x:c>
      <x:c r="L285" t="n">
        <x:f>IFERROR(DATEVALUE(D285)-DATEVALUE(B285),"")</x:f>
        <x:v>6</x:v>
      </x:c>
      <x:c r="M285" t="n">
        <x:f>IFERROR(IF(AND(DATEVALUE(D285)&lt;=DATEVALUE(C285),I285=0),1,0),0)</x:f>
        <x:v>0</x:v>
      </x:c>
    </x:row>
    <x:row r="286">
      <x:c r="A286" t="str">
        <x:v>SO0000285</x:v>
      </x:c>
      <x:c r="B286" t="str">
        <x:v>2025-09-05</x:v>
      </x:c>
      <x:c r="C286" t="str">
        <x:v>2025-09-11</x:v>
      </x:c>
      <x:c r="D286" t="str">
        <x:v>2025-09-09</x:v>
      </x:c>
      <x:c r="E286" t="str">
        <x:v>Wellington</x:v>
      </x:c>
      <x:c r="F286" t="str">
        <x:v>Partially Delivered</x:v>
      </x:c>
      <x:c r="G286" t="n">
        <x:v>78</x:v>
      </x:c>
      <x:c r="H286" t="n">
        <x:v>68</x:v>
      </x:c>
      <x:c r="I286" t="n">
        <x:v>10</x:v>
      </x:c>
      <x:c r="J286" t="n">
        <x:v>10228.2</x:v>
      </x:c>
      <x:c r="K286" t="n">
        <x:v>7696.44</x:v>
      </x:c>
      <x:c r="L286" t="n">
        <x:f>IFERROR(DATEVALUE(D286)-DATEVALUE(B286),"")</x:f>
        <x:v>4</x:v>
      </x:c>
      <x:c r="M286" t="n">
        <x:f>IFERROR(IF(AND(DATEVALUE(D286)&lt;=DATEVALUE(C286),I286=0),1,0),0)</x:f>
        <x:v>0</x:v>
      </x:c>
    </x:row>
    <x:row r="287">
      <x:c r="A287" t="str">
        <x:v>SO0000286</x:v>
      </x:c>
      <x:c r="B287" t="str">
        <x:v>2025-08-22</x:v>
      </x:c>
      <x:c r="C287" t="str">
        <x:v>2025-08-31</x:v>
      </x:c>
      <x:c r="D287" t="str">
        <x:v>2025-08-30</x:v>
      </x:c>
      <x:c r="E287" t="str">
        <x:v>Auckland</x:v>
      </x:c>
      <x:c r="F287" t="str">
        <x:v>Delivered</x:v>
      </x:c>
      <x:c r="G287" t="n">
        <x:v>23</x:v>
      </x:c>
      <x:c r="H287" t="n">
        <x:v>23</x:v>
      </x:c>
      <x:c r="I287" t="n">
        <x:v>0</x:v>
      </x:c>
      <x:c r="J287" t="n">
        <x:v>3316</x:v>
      </x:c>
      <x:c r="K287" t="n">
        <x:v>2564.3</x:v>
      </x:c>
      <x:c r="L287" t="n">
        <x:f>IFERROR(DATEVALUE(D287)-DATEVALUE(B287),"")</x:f>
        <x:v>8</x:v>
      </x:c>
      <x:c r="M287" t="n">
        <x:f>IFERROR(IF(AND(DATEVALUE(D287)&lt;=DATEVALUE(C287),I287=0),1,0),0)</x:f>
        <x:v>1</x:v>
      </x:c>
    </x:row>
    <x:row r="288">
      <x:c r="A288" t="str">
        <x:v>SO0000287</x:v>
      </x:c>
      <x:c r="B288" t="str">
        <x:v>2026-07-20</x:v>
      </x:c>
      <x:c r="C288" t="str">
        <x:v>2026-07-28</x:v>
      </x:c>
      <x:c r="D288" t="str">
        <x:v>2026-07-27</x:v>
      </x:c>
      <x:c r="E288" t="str">
        <x:v>Wellington</x:v>
      </x:c>
      <x:c r="F288" t="str">
        <x:v>Delivered</x:v>
      </x:c>
      <x:c r="G288" t="n">
        <x:v>65</x:v>
      </x:c>
      <x:c r="H288" t="n">
        <x:v>65</x:v>
      </x:c>
      <x:c r="I288" t="n">
        <x:v>0</x:v>
      </x:c>
      <x:c r="J288" t="n">
        <x:v>6934.15</x:v>
      </x:c>
      <x:c r="K288" t="n">
        <x:v>4890.6</x:v>
      </x:c>
      <x:c r="L288" t="n">
        <x:f>IFERROR(DATEVALUE(D288)-DATEVALUE(B288),"")</x:f>
        <x:v>7</x:v>
      </x:c>
      <x:c r="M288" t="n">
        <x:f>IFERROR(IF(AND(DATEVALUE(D288)&lt;=DATEVALUE(C288),I288=0),1,0),0)</x:f>
        <x:v>1</x:v>
      </x:c>
    </x:row>
    <x:row r="289">
      <x:c r="A289" t="str">
        <x:v>SO0000288</x:v>
      </x:c>
      <x:c r="B289" t="str">
        <x:v>2025-12-29</x:v>
      </x:c>
      <x:c r="C289" t="str">
        <x:v>2026-01-08</x:v>
      </x:c>
      <x:c r="D289" t="str">
        <x:v>2026-01-04</x:v>
      </x:c>
      <x:c r="E289" t="str">
        <x:v>Waikato</x:v>
      </x:c>
      <x:c r="F289" t="str">
        <x:v>Delivered</x:v>
      </x:c>
      <x:c r="G289" t="n">
        <x:v>55</x:v>
      </x:c>
      <x:c r="H289" t="n">
        <x:v>55</x:v>
      </x:c>
      <x:c r="I289" t="n">
        <x:v>0</x:v>
      </x:c>
      <x:c r="J289" t="n">
        <x:v>1691.2</x:v>
      </x:c>
      <x:c r="K289" t="n">
        <x:v>1392</x:v>
      </x:c>
      <x:c r="L289" t="n">
        <x:f>IFERROR(DATEVALUE(D289)-DATEVALUE(B289),"")</x:f>
        <x:v>6</x:v>
      </x:c>
      <x:c r="M289" t="n">
        <x:f>IFERROR(IF(AND(DATEVALUE(D289)&lt;=DATEVALUE(C289),I289=0),1,0),0)</x:f>
        <x:v>1</x:v>
      </x:c>
    </x:row>
    <x:row r="290">
      <x:c r="A290" t="str">
        <x:v>SO0000289</x:v>
      </x:c>
      <x:c r="B290" t="str">
        <x:v>2025-04-02</x:v>
      </x:c>
      <x:c r="C290" t="str">
        <x:v>2025-04-11</x:v>
      </x:c>
      <x:c r="D290" t="str">
        <x:v>2025-04-10</x:v>
      </x:c>
      <x:c r="E290" t="str">
        <x:v>Auckland</x:v>
      </x:c>
      <x:c r="F290" t="str">
        <x:v>Delivered</x:v>
      </x:c>
      <x:c r="G290" t="n">
        <x:v>43</x:v>
      </x:c>
      <x:c r="H290" t="n">
        <x:v>43</x:v>
      </x:c>
      <x:c r="I290" t="n">
        <x:v>0</x:v>
      </x:c>
      <x:c r="J290" t="n">
        <x:v>5016.45</x:v>
      </x:c>
      <x:c r="K290" t="n">
        <x:v>3442.5</x:v>
      </x:c>
      <x:c r="L290" t="n">
        <x:f>IFERROR(DATEVALUE(D290)-DATEVALUE(B290),"")</x:f>
        <x:v>8</x:v>
      </x:c>
      <x:c r="M290" t="n">
        <x:f>IFERROR(IF(AND(DATEVALUE(D290)&lt;=DATEVALUE(C290),I290=0),1,0),0)</x:f>
        <x:v>1</x:v>
      </x:c>
    </x:row>
    <x:row r="291">
      <x:c r="A291" t="str">
        <x:v>SO0000290</x:v>
      </x:c>
      <x:c r="B291" t="str">
        <x:v>2025-10-08</x:v>
      </x:c>
      <x:c r="C291" t="str">
        <x:v>2025-10-18</x:v>
      </x:c>
      <x:c r="D291" t="str">
        <x:v>2025-10-14</x:v>
      </x:c>
      <x:c r="E291" t="str">
        <x:v>Bay of Plenty</x:v>
      </x:c>
      <x:c r="F291" t="str">
        <x:v>Partially Delivered</x:v>
      </x:c>
      <x:c r="G291" t="n">
        <x:v>79</x:v>
      </x:c>
      <x:c r="H291" t="n">
        <x:v>78</x:v>
      </x:c>
      <x:c r="I291" t="n">
        <x:v>1</x:v>
      </x:c>
      <x:c r="J291" t="n">
        <x:v>12193.82</x:v>
      </x:c>
      <x:c r="K291" t="n">
        <x:v>8593.88</x:v>
      </x:c>
      <x:c r="L291" t="n">
        <x:f>IFERROR(DATEVALUE(D291)-DATEVALUE(B291),"")</x:f>
        <x:v>6</x:v>
      </x:c>
      <x:c r="M291" t="n">
        <x:f>IFERROR(IF(AND(DATEVALUE(D291)&lt;=DATEVALUE(C291),I291=0),1,0),0)</x:f>
        <x:v>0</x:v>
      </x:c>
    </x:row>
    <x:row r="292">
      <x:c r="A292" t="str">
        <x:v>SO0000291</x:v>
      </x:c>
      <x:c r="B292" t="str">
        <x:v>2026-09-01</x:v>
      </x:c>
      <x:c r="C292" t="str">
        <x:v>2026-09-09</x:v>
      </x:c>
      <x:c r="D292" t="str">
        <x:v>2026-09-08</x:v>
      </x:c>
      <x:c r="E292" t="str">
        <x:v>Bay of Plenty</x:v>
      </x:c>
      <x:c r="F292" t="str">
        <x:v>Partially Delivered</x:v>
      </x:c>
      <x:c r="G292" t="n">
        <x:v>80</x:v>
      </x:c>
      <x:c r="H292" t="n">
        <x:v>20</x:v>
      </x:c>
      <x:c r="I292" t="n">
        <x:v>60</x:v>
      </x:c>
      <x:c r="J292" t="n">
        <x:v>2738</x:v>
      </x:c>
      <x:c r="K292" t="n">
        <x:v>2128.6</x:v>
      </x:c>
      <x:c r="L292" t="n">
        <x:f>IFERROR(DATEVALUE(D292)-DATEVALUE(B292),"")</x:f>
        <x:v>7</x:v>
      </x:c>
      <x:c r="M292" t="n">
        <x:f>IFERROR(IF(AND(DATEVALUE(D292)&lt;=DATEVALUE(C292),I292=0),1,0),0)</x:f>
        <x:v>0</x:v>
      </x:c>
    </x:row>
    <x:row r="293">
      <x:c r="A293" t="str">
        <x:v>SO0000292</x:v>
      </x:c>
      <x:c r="B293" t="str">
        <x:v>2026-08-17</x:v>
      </x:c>
      <x:c r="C293" t="str">
        <x:v>2026-08-23</x:v>
      </x:c>
      <x:c r="D293" t="str">
        <x:v>2026-08-23</x:v>
      </x:c>
      <x:c r="E293" t="str">
        <x:v>Bay of Plenty</x:v>
      </x:c>
      <x:c r="F293" t="str">
        <x:v>Delivered</x:v>
      </x:c>
      <x:c r="G293" t="n">
        <x:v>55</x:v>
      </x:c>
      <x:c r="H293" t="n">
        <x:v>55</x:v>
      </x:c>
      <x:c r="I293" t="n">
        <x:v>0</x:v>
      </x:c>
      <x:c r="J293" t="n">
        <x:v>1373.55</x:v>
      </x:c>
      <x:c r="K293" t="n">
        <x:v>940.6</x:v>
      </x:c>
      <x:c r="L293" t="n">
        <x:f>IFERROR(DATEVALUE(D293)-DATEVALUE(B293),"")</x:f>
        <x:v>6</x:v>
      </x:c>
      <x:c r="M293" t="n">
        <x:f>IFERROR(IF(AND(DATEVALUE(D293)&lt;=DATEVALUE(C293),I293=0),1,0),0)</x:f>
        <x:v>1</x:v>
      </x:c>
    </x:row>
    <x:row r="294">
      <x:c r="A294" t="str">
        <x:v>SO0000293</x:v>
      </x:c>
      <x:c r="B294" t="str">
        <x:v>2026-05-24</x:v>
      </x:c>
      <x:c r="C294" t="str">
        <x:v>2026-05-30</x:v>
      </x:c>
      <x:c r="D294" t="str">
        <x:v>2026-05-29</x:v>
      </x:c>
      <x:c r="E294" t="str">
        <x:v>Canterbury</x:v>
      </x:c>
      <x:c r="F294" t="str">
        <x:v>Delivered</x:v>
      </x:c>
      <x:c r="G294" t="n">
        <x:v>26</x:v>
      </x:c>
      <x:c r="H294" t="n">
        <x:v>26</x:v>
      </x:c>
      <x:c r="I294" t="n">
        <x:v>0</x:v>
      </x:c>
      <x:c r="J294" t="n">
        <x:v>3165.82</x:v>
      </x:c>
      <x:c r="K294" t="n">
        <x:v>2593.17</x:v>
      </x:c>
      <x:c r="L294" t="n">
        <x:f>IFERROR(DATEVALUE(D294)-DATEVALUE(B294),"")</x:f>
        <x:v>5</x:v>
      </x:c>
      <x:c r="M294" t="n">
        <x:f>IFERROR(IF(AND(DATEVALUE(D294)&lt;=DATEVALUE(C294),I294=0),1,0),0)</x:f>
        <x:v>1</x:v>
      </x:c>
    </x:row>
    <x:row r="295">
      <x:c r="A295" t="str">
        <x:v>SO0000294</x:v>
      </x:c>
      <x:c r="B295" t="str">
        <x:v>2026-04-12</x:v>
      </x:c>
      <x:c r="C295" t="str">
        <x:v>2026-04-18</x:v>
      </x:c>
      <x:c r="D295" t="str">
        <x:v>2026-04-19</x:v>
      </x:c>
      <x:c r="E295" t="str">
        <x:v>Bay of Plenty</x:v>
      </x:c>
      <x:c r="F295" t="str">
        <x:v>Delivered</x:v>
      </x:c>
      <x:c r="G295" t="n">
        <x:v>38</x:v>
      </x:c>
      <x:c r="H295" t="n">
        <x:v>38</x:v>
      </x:c>
      <x:c r="I295" t="n">
        <x:v>0</x:v>
      </x:c>
      <x:c r="J295" t="n">
        <x:v>3760.97</x:v>
      </x:c>
      <x:c r="K295" t="n">
        <x:v>2570.9</x:v>
      </x:c>
      <x:c r="L295" t="n">
        <x:f>IFERROR(DATEVALUE(D295)-DATEVALUE(B295),"")</x:f>
        <x:v>7</x:v>
      </x:c>
      <x:c r="M295" t="n">
        <x:f>IFERROR(IF(AND(DATEVALUE(D295)&lt;=DATEVALUE(C295),I295=0),1,0),0)</x:f>
        <x:v>0</x:v>
      </x:c>
    </x:row>
    <x:row r="296">
      <x:c r="A296" t="str">
        <x:v>SO0000295</x:v>
      </x:c>
      <x:c r="B296" t="str">
        <x:v>2025-05-28</x:v>
      </x:c>
      <x:c r="C296" t="str">
        <x:v>2025-06-07</x:v>
      </x:c>
      <x:c r="D296" t="str">
        <x:v>2025-06-06</x:v>
      </x:c>
      <x:c r="E296" t="str">
        <x:v>Canterbury</x:v>
      </x:c>
      <x:c r="F296" t="str">
        <x:v>Delivered</x:v>
      </x:c>
      <x:c r="G296" t="n">
        <x:v>65</x:v>
      </x:c>
      <x:c r="H296" t="n">
        <x:v>65</x:v>
      </x:c>
      <x:c r="I296" t="n">
        <x:v>0</x:v>
      </x:c>
      <x:c r="J296" t="n">
        <x:v>6805.4</x:v>
      </x:c>
      <x:c r="K296" t="n">
        <x:v>4856.65</x:v>
      </x:c>
      <x:c r="L296" t="n">
        <x:f>IFERROR(DATEVALUE(D296)-DATEVALUE(B296),"")</x:f>
        <x:v>9</x:v>
      </x:c>
      <x:c r="M296" t="n">
        <x:f>IFERROR(IF(AND(DATEVALUE(D296)&lt;=DATEVALUE(C296),I296=0),1,0),0)</x:f>
        <x:v>1</x:v>
      </x:c>
    </x:row>
    <x:row r="297">
      <x:c r="A297" t="str">
        <x:v>SO0000296</x:v>
      </x:c>
      <x:c r="B297" t="str">
        <x:v>2025-11-06</x:v>
      </x:c>
      <x:c r="C297" t="str">
        <x:v>2025-11-16</x:v>
      </x:c>
      <x:c r="D297" t="str">
        <x:v>2025-11-12</x:v>
      </x:c>
      <x:c r="E297" t="str">
        <x:v>Bay of Plenty</x:v>
      </x:c>
      <x:c r="F297" t="str">
        <x:v>Delivered</x:v>
      </x:c>
      <x:c r="G297" t="n">
        <x:v>3</x:v>
      </x:c>
      <x:c r="H297" t="n">
        <x:v>3</x:v>
      </x:c>
      <x:c r="I297" t="n">
        <x:v>0</x:v>
      </x:c>
      <x:c r="J297" t="n">
        <x:v>330.33</x:v>
      </x:c>
      <x:c r="K297" t="n">
        <x:v>232.71</x:v>
      </x:c>
      <x:c r="L297" t="n">
        <x:f>IFERROR(DATEVALUE(D297)-DATEVALUE(B297),"")</x:f>
        <x:v>6</x:v>
      </x:c>
      <x:c r="M297" t="n">
        <x:f>IFERROR(IF(AND(DATEVALUE(D297)&lt;=DATEVALUE(C297),I297=0),1,0),0)</x:f>
        <x:v>1</x:v>
      </x:c>
    </x:row>
    <x:row r="298">
      <x:c r="A298" t="str">
        <x:v>SO0000297</x:v>
      </x:c>
      <x:c r="B298" t="str">
        <x:v>2025-04-12</x:v>
      </x:c>
      <x:c r="C298" t="str">
        <x:v>2025-04-17</x:v>
      </x:c>
      <x:c r="D298" t="str">
        <x:v>2025-04-17</x:v>
      </x:c>
      <x:c r="E298" t="str">
        <x:v>Bay of Plenty</x:v>
      </x:c>
      <x:c r="F298" t="str">
        <x:v>Delivered</x:v>
      </x:c>
      <x:c r="G298" t="n">
        <x:v>18</x:v>
      </x:c>
      <x:c r="H298" t="n">
        <x:v>18</x:v>
      </x:c>
      <x:c r="I298" t="n">
        <x:v>0</x:v>
      </x:c>
      <x:c r="J298" t="n">
        <x:v>2277.72</x:v>
      </x:c>
      <x:c r="K298" t="n">
        <x:v>1760.01</x:v>
      </x:c>
      <x:c r="L298" t="n">
        <x:f>IFERROR(DATEVALUE(D298)-DATEVALUE(B298),"")</x:f>
        <x:v>5</x:v>
      </x:c>
      <x:c r="M298" t="n">
        <x:f>IFERROR(IF(AND(DATEVALUE(D298)&lt;=DATEVALUE(C298),I298=0),1,0),0)</x:f>
        <x:v>1</x:v>
      </x:c>
    </x:row>
    <x:row r="299">
      <x:c r="A299" t="str">
        <x:v>SO0000298</x:v>
      </x:c>
      <x:c r="B299" t="str">
        <x:v>2026-04-07</x:v>
      </x:c>
      <x:c r="C299" t="str">
        <x:v>2026-04-16</x:v>
      </x:c>
      <x:c r="D299" t="str">
        <x:v>2026-04-13</x:v>
      </x:c>
      <x:c r="E299" t="str">
        <x:v>Wellington</x:v>
      </x:c>
      <x:c r="F299" t="str">
        <x:v>Partially Delivered</x:v>
      </x:c>
      <x:c r="G299" t="n">
        <x:v>23</x:v>
      </x:c>
      <x:c r="H299" t="n">
        <x:v>20</x:v>
      </x:c>
      <x:c r="I299" t="n">
        <x:v>3</x:v>
      </x:c>
      <x:c r="J299" t="n">
        <x:v>2673.4</x:v>
      </x:c>
      <x:c r="K299" t="n">
        <x:v>2165.4</x:v>
      </x:c>
      <x:c r="L299" t="n">
        <x:f>IFERROR(DATEVALUE(D299)-DATEVALUE(B299),"")</x:f>
        <x:v>6</x:v>
      </x:c>
      <x:c r="M299" t="n">
        <x:f>IFERROR(IF(AND(DATEVALUE(D299)&lt;=DATEVALUE(C299),I299=0),1,0),0)</x:f>
        <x:v>0</x:v>
      </x:c>
    </x:row>
    <x:row r="300">
      <x:c r="A300" t="str">
        <x:v>SO0000299</x:v>
      </x:c>
      <x:c r="B300" t="str">
        <x:v>2025-07-22</x:v>
      </x:c>
      <x:c r="C300" t="str">
        <x:v>2025-08-01</x:v>
      </x:c>
      <x:c r="D300" t="str">
        <x:v>2025-07-26</x:v>
      </x:c>
      <x:c r="E300" t="str">
        <x:v>Wellington</x:v>
      </x:c>
      <x:c r="F300" t="str">
        <x:v>Delivered</x:v>
      </x:c>
      <x:c r="G300" t="n">
        <x:v>5</x:v>
      </x:c>
      <x:c r="H300" t="n">
        <x:v>5</x:v>
      </x:c>
      <x:c r="I300" t="n">
        <x:v>0</x:v>
      </x:c>
      <x:c r="J300" t="n">
        <x:v>620.8</x:v>
      </x:c>
      <x:c r="K300" t="n">
        <x:v>404.75</x:v>
      </x:c>
      <x:c r="L300" t="n">
        <x:f>IFERROR(DATEVALUE(D300)-DATEVALUE(B300),"")</x:f>
        <x:v>4</x:v>
      </x:c>
      <x:c r="M300" t="n">
        <x:f>IFERROR(IF(AND(DATEVALUE(D300)&lt;=DATEVALUE(C300),I300=0),1,0),0)</x:f>
        <x:v>1</x:v>
      </x:c>
    </x:row>
    <x:row r="301">
      <x:c r="A301" t="str">
        <x:v>SO0000300</x:v>
      </x:c>
      <x:c r="B301" t="str">
        <x:v>2026-09-28</x:v>
      </x:c>
      <x:c r="C301" t="str">
        <x:v>2026-10-06</x:v>
      </x:c>
      <x:c r="D301"/>
      <x:c r="E301" t="str">
        <x:v>Bay of Plenty</x:v>
      </x:c>
      <x:c r="F301" t="str">
        <x:v>Open</x:v>
      </x:c>
      <x:c r="G301" t="n">
        <x:v>33</x:v>
      </x:c>
      <x:c r="H301" t="n">
        <x:v>0</x:v>
      </x:c>
      <x:c r="I301" t="n">
        <x:v>33</x:v>
      </x:c>
      <x:c r="J301" t="str">
        <x:v>0.0</x:v>
      </x:c>
      <x:c r="K301" t="str">
        <x:v>0.0</x:v>
      </x:c>
      <x:c r="L301" t="str">
        <x:f>IFERROR(DATEVALUE(D301)-DATEVALUE(B301),"")</x:f>
      </x:c>
      <x:c r="M301" t="n">
        <x:f>IFERROR(IF(AND(DATEVALUE(D301)&lt;=DATEVALUE(C301),I301=0),1,0),0)</x:f>
        <x:v>0</x:v>
      </x:c>
    </x:row>
    <x:row r="302">
      <x:c r="A302" t="str">
        <x:v>SO0000301</x:v>
      </x:c>
      <x:c r="B302" t="str">
        <x:v>2025-06-23</x:v>
      </x:c>
      <x:c r="C302" t="str">
        <x:v>2025-07-04</x:v>
      </x:c>
      <x:c r="D302" t="str">
        <x:v>2025-06-29</x:v>
      </x:c>
      <x:c r="E302" t="str">
        <x:v>Waikato</x:v>
      </x:c>
      <x:c r="F302" t="str">
        <x:v>Delivered</x:v>
      </x:c>
      <x:c r="G302" t="n">
        <x:v>3</x:v>
      </x:c>
      <x:c r="H302" t="n">
        <x:v>3</x:v>
      </x:c>
      <x:c r="I302" t="n">
        <x:v>0</x:v>
      </x:c>
      <x:c r="J302" t="n">
        <x:v>140.55</x:v>
      </x:c>
      <x:c r="K302" t="n">
        <x:v>96.51</x:v>
      </x:c>
      <x:c r="L302" t="n">
        <x:f>IFERROR(DATEVALUE(D302)-DATEVALUE(B302),"")</x:f>
        <x:v>6</x:v>
      </x:c>
      <x:c r="M302" t="n">
        <x:f>IFERROR(IF(AND(DATEVALUE(D302)&lt;=DATEVALUE(C302),I302=0),1,0),0)</x:f>
        <x:v>1</x:v>
      </x:c>
    </x:row>
    <x:row r="303">
      <x:c r="A303" t="str">
        <x:v>SO0000302</x:v>
      </x:c>
      <x:c r="B303" t="str">
        <x:v>2025-07-11</x:v>
      </x:c>
      <x:c r="C303" t="str">
        <x:v>2025-07-17</x:v>
      </x:c>
      <x:c r="D303" t="str">
        <x:v>2025-07-15</x:v>
      </x:c>
      <x:c r="E303" t="str">
        <x:v>Auckland</x:v>
      </x:c>
      <x:c r="F303" t="str">
        <x:v>Partially Delivered</x:v>
      </x:c>
      <x:c r="G303" t="n">
        <x:v>23</x:v>
      </x:c>
      <x:c r="H303" t="n">
        <x:v>3</x:v>
      </x:c>
      <x:c r="I303" t="n">
        <x:v>20</x:v>
      </x:c>
      <x:c r="J303" t="n">
        <x:v>502.05</x:v>
      </x:c>
      <x:c r="K303" t="n">
        <x:v>406.5</x:v>
      </x:c>
      <x:c r="L303" t="n">
        <x:f>IFERROR(DATEVALUE(D303)-DATEVALUE(B303),"")</x:f>
        <x:v>4</x:v>
      </x:c>
      <x:c r="M303" t="n">
        <x:f>IFERROR(IF(AND(DATEVALUE(D303)&lt;=DATEVALUE(C303),I303=0),1,0),0)</x:f>
        <x:v>0</x:v>
      </x:c>
    </x:row>
    <x:row r="304">
      <x:c r="A304" t="str">
        <x:v>SO0000303</x:v>
      </x:c>
      <x:c r="B304" t="str">
        <x:v>2025-01-01</x:v>
      </x:c>
      <x:c r="C304" t="str">
        <x:v>2025-01-08</x:v>
      </x:c>
      <x:c r="D304" t="str">
        <x:v>2025-01-08</x:v>
      </x:c>
      <x:c r="E304" t="str">
        <x:v>Canterbury</x:v>
      </x:c>
      <x:c r="F304" t="str">
        <x:v>Delivered</x:v>
      </x:c>
      <x:c r="G304" t="n">
        <x:v>55</x:v>
      </x:c>
      <x:c r="H304" t="n">
        <x:v>55</x:v>
      </x:c>
      <x:c r="I304" t="n">
        <x:v>0</x:v>
      </x:c>
      <x:c r="J304" t="n">
        <x:v>2467.5</x:v>
      </x:c>
      <x:c r="K304" t="n">
        <x:v>1791.65</x:v>
      </x:c>
      <x:c r="L304" t="n">
        <x:f>IFERROR(DATEVALUE(D304)-DATEVALUE(B304),"")</x:f>
        <x:v>7</x:v>
      </x:c>
      <x:c r="M304" t="n">
        <x:f>IFERROR(IF(AND(DATEVALUE(D304)&lt;=DATEVALUE(C304),I304=0),1,0),0)</x:f>
        <x:v>1</x:v>
      </x:c>
    </x:row>
    <x:row r="305">
      <x:c r="A305" t="str">
        <x:v>SO0000304</x:v>
      </x:c>
      <x:c r="B305" t="str">
        <x:v>2026-09-16</x:v>
      </x:c>
      <x:c r="C305" t="str">
        <x:v>2026-09-23</x:v>
      </x:c>
      <x:c r="D305" t="str">
        <x:v>2026-09-21</x:v>
      </x:c>
      <x:c r="E305" t="str">
        <x:v>Auckland</x:v>
      </x:c>
      <x:c r="F305" t="str">
        <x:v>Delivered</x:v>
      </x:c>
      <x:c r="G305" t="n">
        <x:v>95</x:v>
      </x:c>
      <x:c r="H305" t="n">
        <x:v>95</x:v>
      </x:c>
      <x:c r="I305" t="n">
        <x:v>0</x:v>
      </x:c>
      <x:c r="J305" t="n">
        <x:v>9228.85</x:v>
      </x:c>
      <x:c r="K305" t="n">
        <x:v>6642.8</x:v>
      </x:c>
      <x:c r="L305" t="n">
        <x:f>IFERROR(DATEVALUE(D305)-DATEVALUE(B305),"")</x:f>
        <x:v>5</x:v>
      </x:c>
      <x:c r="M305" t="n">
        <x:f>IFERROR(IF(AND(DATEVALUE(D305)&lt;=DATEVALUE(C305),I305=0),1,0),0)</x:f>
        <x:v>1</x:v>
      </x:c>
    </x:row>
    <x:row r="306">
      <x:c r="A306" t="str">
        <x:v>SO0000305</x:v>
      </x:c>
      <x:c r="B306" t="str">
        <x:v>2024-11-27</x:v>
      </x:c>
      <x:c r="C306" t="str">
        <x:v>2024-12-08</x:v>
      </x:c>
      <x:c r="D306" t="str">
        <x:v>2024-12-01</x:v>
      </x:c>
      <x:c r="E306" t="str">
        <x:v>Bay of Plenty</x:v>
      </x:c>
      <x:c r="F306" t="str">
        <x:v>Delivered</x:v>
      </x:c>
      <x:c r="G306" t="n">
        <x:v>20</x:v>
      </x:c>
      <x:c r="H306" t="n">
        <x:v>20</x:v>
      </x:c>
      <x:c r="I306" t="n">
        <x:v>0</x:v>
      </x:c>
      <x:c r="J306" t="n">
        <x:v>882.3</x:v>
      </x:c>
      <x:c r="K306" t="n">
        <x:v>568.15</x:v>
      </x:c>
      <x:c r="L306" t="n">
        <x:f>IFERROR(DATEVALUE(D306)-DATEVALUE(B306),"")</x:f>
        <x:v>4</x:v>
      </x:c>
      <x:c r="M306" t="n">
        <x:f>IFERROR(IF(AND(DATEVALUE(D306)&lt;=DATEVALUE(C306),I306=0),1,0),0)</x:f>
        <x:v>1</x:v>
      </x:c>
    </x:row>
    <x:row r="307">
      <x:c r="A307" t="str">
        <x:v>SO0000306</x:v>
      </x:c>
      <x:c r="B307" t="str">
        <x:v>2026-02-02</x:v>
      </x:c>
      <x:c r="C307" t="str">
        <x:v>2026-02-08</x:v>
      </x:c>
      <x:c r="D307" t="str">
        <x:v>2026-02-08</x:v>
      </x:c>
      <x:c r="E307" t="str">
        <x:v>Wellington</x:v>
      </x:c>
      <x:c r="F307" t="str">
        <x:v>Partially Delivered</x:v>
      </x:c>
      <x:c r="G307" t="n">
        <x:v>18</x:v>
      </x:c>
      <x:c r="H307" t="n">
        <x:v>10</x:v>
      </x:c>
      <x:c r="I307" t="n">
        <x:v>8</x:v>
      </x:c>
      <x:c r="J307" t="n">
        <x:v>909.2</x:v>
      </x:c>
      <x:c r="K307" t="n">
        <x:v>621.5</x:v>
      </x:c>
      <x:c r="L307" t="n">
        <x:f>IFERROR(DATEVALUE(D307)-DATEVALUE(B307),"")</x:f>
        <x:v>6</x:v>
      </x:c>
      <x:c r="M307" t="n">
        <x:f>IFERROR(IF(AND(DATEVALUE(D307)&lt;=DATEVALUE(C307),I307=0),1,0),0)</x:f>
        <x:v>0</x:v>
      </x:c>
    </x:row>
    <x:row r="308">
      <x:c r="A308" t="str">
        <x:v>SO0000307</x:v>
      </x:c>
      <x:c r="B308" t="str">
        <x:v>2026-09-22</x:v>
      </x:c>
      <x:c r="C308" t="str">
        <x:v>2026-09-30</x:v>
      </x:c>
      <x:c r="D308" t="str">
        <x:v>2026-09-27</x:v>
      </x:c>
      <x:c r="E308" t="str">
        <x:v>Bay of Plenty</x:v>
      </x:c>
      <x:c r="F308" t="str">
        <x:v>Partially Delivered</x:v>
      </x:c>
      <x:c r="G308" t="n">
        <x:v>83</x:v>
      </x:c>
      <x:c r="H308" t="n">
        <x:v>23</x:v>
      </x:c>
      <x:c r="I308" t="n">
        <x:v>60</x:v>
      </x:c>
      <x:c r="J308" t="n">
        <x:v>2361.22</x:v>
      </x:c>
      <x:c r="K308" t="n">
        <x:v>1764.13</x:v>
      </x:c>
      <x:c r="L308" t="n">
        <x:f>IFERROR(DATEVALUE(D308)-DATEVALUE(B308),"")</x:f>
        <x:v>5</x:v>
      </x:c>
      <x:c r="M308" t="n">
        <x:f>IFERROR(IF(AND(DATEVALUE(D308)&lt;=DATEVALUE(C308),I308=0),1,0),0)</x:f>
        <x:v>0</x:v>
      </x:c>
    </x:row>
    <x:row r="309">
      <x:c r="A309" t="str">
        <x:v>SO0000308</x:v>
      </x:c>
      <x:c r="B309" t="str">
        <x:v>2025-05-23</x:v>
      </x:c>
      <x:c r="C309" t="str">
        <x:v>2025-05-28</x:v>
      </x:c>
      <x:c r="D309" t="str">
        <x:v>2025-05-30</x:v>
      </x:c>
      <x:c r="E309" t="str">
        <x:v>Bay of Plenty</x:v>
      </x:c>
      <x:c r="F309" t="str">
        <x:v>Partially Delivered</x:v>
      </x:c>
      <x:c r="G309" t="n">
        <x:v>45</x:v>
      </x:c>
      <x:c r="H309" t="n">
        <x:v>30</x:v>
      </x:c>
      <x:c r="I309" t="n">
        <x:v>15</x:v>
      </x:c>
      <x:c r="J309" t="n">
        <x:v>5150.9</x:v>
      </x:c>
      <x:c r="K309" t="n">
        <x:v>3731.85</x:v>
      </x:c>
      <x:c r="L309" t="n">
        <x:f>IFERROR(DATEVALUE(D309)-DATEVALUE(B309),"")</x:f>
        <x:v>7</x:v>
      </x:c>
      <x:c r="M309" t="n">
        <x:f>IFERROR(IF(AND(DATEVALUE(D309)&lt;=DATEVALUE(C309),I309=0),1,0),0)</x:f>
        <x:v>0</x:v>
      </x:c>
    </x:row>
    <x:row r="310">
      <x:c r="A310" t="str">
        <x:v>SO0000309</x:v>
      </x:c>
      <x:c r="B310" t="str">
        <x:v>2026-03-17</x:v>
      </x:c>
      <x:c r="C310" t="str">
        <x:v>2026-03-23</x:v>
      </x:c>
      <x:c r="D310" t="str">
        <x:v>2026-03-22</x:v>
      </x:c>
      <x:c r="E310" t="str">
        <x:v>Waikato</x:v>
      </x:c>
      <x:c r="F310" t="str">
        <x:v>Delivered</x:v>
      </x:c>
      <x:c r="G310" t="n">
        <x:v>15</x:v>
      </x:c>
      <x:c r="H310" t="n">
        <x:v>15</x:v>
      </x:c>
      <x:c r="I310" t="n">
        <x:v>0</x:v>
      </x:c>
      <x:c r="J310" t="n">
        <x:v>1890.45</x:v>
      </x:c>
      <x:c r="K310" t="n">
        <x:v>1251.95</x:v>
      </x:c>
      <x:c r="L310" t="n">
        <x:f>IFERROR(DATEVALUE(D310)-DATEVALUE(B310),"")</x:f>
        <x:v>5</x:v>
      </x:c>
      <x:c r="M310" t="n">
        <x:f>IFERROR(IF(AND(DATEVALUE(D310)&lt;=DATEVALUE(C310),I310=0),1,0),0)</x:f>
        <x:v>1</x:v>
      </x:c>
    </x:row>
    <x:row r="311">
      <x:c r="A311" t="str">
        <x:v>SO0000310</x:v>
      </x:c>
      <x:c r="B311" t="str">
        <x:v>2025-09-05</x:v>
      </x:c>
      <x:c r="C311" t="str">
        <x:v>2025-09-14</x:v>
      </x:c>
      <x:c r="D311" t="str">
        <x:v>2025-09-10</x:v>
      </x:c>
      <x:c r="E311" t="str">
        <x:v>Canterbury</x:v>
      </x:c>
      <x:c r="F311" t="str">
        <x:v>Partially Delivered</x:v>
      </x:c>
      <x:c r="G311" t="n">
        <x:v>28</x:v>
      </x:c>
      <x:c r="H311" t="n">
        <x:v>23</x:v>
      </x:c>
      <x:c r="I311" t="n">
        <x:v>5</x:v>
      </x:c>
      <x:c r="J311" t="n">
        <x:v>2664.7</x:v>
      </x:c>
      <x:c r="K311" t="n">
        <x:v>1832.12</x:v>
      </x:c>
      <x:c r="L311" t="n">
        <x:f>IFERROR(DATEVALUE(D311)-DATEVALUE(B311),"")</x:f>
        <x:v>5</x:v>
      </x:c>
      <x:c r="M311" t="n">
        <x:f>IFERROR(IF(AND(DATEVALUE(D311)&lt;=DATEVALUE(C311),I311=0),1,0),0)</x:f>
        <x:v>0</x:v>
      </x:c>
    </x:row>
    <x:row r="312">
      <x:c r="A312" t="str">
        <x:v>SO0000311</x:v>
      </x:c>
      <x:c r="B312" t="str">
        <x:v>2024-10-31</x:v>
      </x:c>
      <x:c r="C312" t="str">
        <x:v>2024-11-10</x:v>
      </x:c>
      <x:c r="D312" t="str">
        <x:v>2024-11-04</x:v>
      </x:c>
      <x:c r="E312" t="str">
        <x:v>Waikato</x:v>
      </x:c>
      <x:c r="F312" t="str">
        <x:v>Delivered</x:v>
      </x:c>
      <x:c r="G312" t="n">
        <x:v>38</x:v>
      </x:c>
      <x:c r="H312" t="n">
        <x:v>38</x:v>
      </x:c>
      <x:c r="I312" t="n">
        <x:v>0</x:v>
      </x:c>
      <x:c r="J312" t="n">
        <x:v>631.5</x:v>
      </x:c>
      <x:c r="K312" t="n">
        <x:v>485.22</x:v>
      </x:c>
      <x:c r="L312" t="n">
        <x:f>IFERROR(DATEVALUE(D312)-DATEVALUE(B312),"")</x:f>
        <x:v>4</x:v>
      </x:c>
      <x:c r="M312" t="n">
        <x:f>IFERROR(IF(AND(DATEVALUE(D312)&lt;=DATEVALUE(C312),I312=0),1,0),0)</x:f>
        <x:v>1</x:v>
      </x:c>
    </x:row>
    <x:row r="313">
      <x:c r="A313" t="str">
        <x:v>SO0000312</x:v>
      </x:c>
      <x:c r="B313" t="str">
        <x:v>2026-01-26</x:v>
      </x:c>
      <x:c r="C313" t="str">
        <x:v>2026-02-05</x:v>
      </x:c>
      <x:c r="D313"/>
      <x:c r="E313" t="str">
        <x:v>Canterbury</x:v>
      </x:c>
      <x:c r="F313" t="str">
        <x:v>Open</x:v>
      </x:c>
      <x:c r="G313" t="n">
        <x:v>60</x:v>
      </x:c>
      <x:c r="H313" t="n">
        <x:v>0</x:v>
      </x:c>
      <x:c r="I313" t="n">
        <x:v>60</x:v>
      </x:c>
      <x:c r="J313" t="str">
        <x:v>0.0</x:v>
      </x:c>
      <x:c r="K313" t="str">
        <x:v>0.0</x:v>
      </x:c>
      <x:c r="L313" t="str">
        <x:f>IFERROR(DATEVALUE(D313)-DATEVALUE(B313),"")</x:f>
      </x:c>
      <x:c r="M313" t="n">
        <x:f>IFERROR(IF(AND(DATEVALUE(D313)&lt;=DATEVALUE(C313),I313=0),1,0),0)</x:f>
        <x:v>0</x:v>
      </x:c>
    </x:row>
    <x:row r="314">
      <x:c r="A314" t="str">
        <x:v>SO0000313</x:v>
      </x:c>
      <x:c r="B314" t="str">
        <x:v>2025-08-13</x:v>
      </x:c>
      <x:c r="C314" t="str">
        <x:v>2025-08-23</x:v>
      </x:c>
      <x:c r="D314"/>
      <x:c r="E314" t="str">
        <x:v>Canterbury</x:v>
      </x:c>
      <x:c r="F314" t="str">
        <x:v>Open</x:v>
      </x:c>
      <x:c r="G314" t="n">
        <x:v>13</x:v>
      </x:c>
      <x:c r="H314" t="n">
        <x:v>0</x:v>
      </x:c>
      <x:c r="I314" t="n">
        <x:v>13</x:v>
      </x:c>
      <x:c r="J314" t="str">
        <x:v>0.0</x:v>
      </x:c>
      <x:c r="K314" t="str">
        <x:v>0.0</x:v>
      </x:c>
      <x:c r="L314" t="str">
        <x:f>IFERROR(DATEVALUE(D314)-DATEVALUE(B314),"")</x:f>
      </x:c>
      <x:c r="M314" t="n">
        <x:f>IFERROR(IF(AND(DATEVALUE(D314)&lt;=DATEVALUE(C314),I314=0),1,0),0)</x:f>
        <x:v>0</x:v>
      </x:c>
    </x:row>
    <x:row r="315">
      <x:c r="A315" t="str">
        <x:v>SO0000314</x:v>
      </x:c>
      <x:c r="B315" t="str">
        <x:v>2025-11-18</x:v>
      </x:c>
      <x:c r="C315" t="str">
        <x:v>2025-11-23</x:v>
      </x:c>
      <x:c r="D315" t="str">
        <x:v>2025-11-22</x:v>
      </x:c>
      <x:c r="E315" t="str">
        <x:v>Wellington</x:v>
      </x:c>
      <x:c r="F315" t="str">
        <x:v>Delivered</x:v>
      </x:c>
      <x:c r="G315" t="n">
        <x:v>23</x:v>
      </x:c>
      <x:c r="H315" t="n">
        <x:v>23</x:v>
      </x:c>
      <x:c r="I315" t="n">
        <x:v>0</x:v>
      </x:c>
      <x:c r="J315" t="n">
        <x:v>2225.98</x:v>
      </x:c>
      <x:c r="K315" t="n">
        <x:v>1856.94</x:v>
      </x:c>
      <x:c r="L315" t="n">
        <x:f>IFERROR(DATEVALUE(D315)-DATEVALUE(B315),"")</x:f>
        <x:v>4</x:v>
      </x:c>
      <x:c r="M315" t="n">
        <x:f>IFERROR(IF(AND(DATEVALUE(D315)&lt;=DATEVALUE(C315),I315=0),1,0),0)</x:f>
        <x:v>1</x:v>
      </x:c>
    </x:row>
    <x:row r="316">
      <x:c r="A316" t="str">
        <x:v>SO0000315</x:v>
      </x:c>
      <x:c r="B316" t="str">
        <x:v>2025-07-07</x:v>
      </x:c>
      <x:c r="C316" t="str">
        <x:v>2025-07-14</x:v>
      </x:c>
      <x:c r="D316" t="str">
        <x:v>2025-07-15</x:v>
      </x:c>
      <x:c r="E316" t="str">
        <x:v>Canterbury</x:v>
      </x:c>
      <x:c r="F316" t="str">
        <x:v>Delivered</x:v>
      </x:c>
      <x:c r="G316" t="n">
        <x:v>45</x:v>
      </x:c>
      <x:c r="H316" t="n">
        <x:v>45</x:v>
      </x:c>
      <x:c r="I316" t="n">
        <x:v>0</x:v>
      </x:c>
      <x:c r="J316" t="n">
        <x:v>7820.8</x:v>
      </x:c>
      <x:c r="K316" t="n">
        <x:v>5312.6</x:v>
      </x:c>
      <x:c r="L316" t="n">
        <x:f>IFERROR(DATEVALUE(D316)-DATEVALUE(B316),"")</x:f>
        <x:v>8</x:v>
      </x:c>
      <x:c r="M316" t="n">
        <x:f>IFERROR(IF(AND(DATEVALUE(D316)&lt;=DATEVALUE(C316),I316=0),1,0),0)</x:f>
        <x:v>0</x:v>
      </x:c>
    </x:row>
    <x:row r="317">
      <x:c r="A317" t="str">
        <x:v>SO0000316</x:v>
      </x:c>
      <x:c r="B317" t="str">
        <x:v>2025-03-26</x:v>
      </x:c>
      <x:c r="C317" t="str">
        <x:v>2025-04-01</x:v>
      </x:c>
      <x:c r="D317" t="str">
        <x:v>2025-03-30</x:v>
      </x:c>
      <x:c r="E317" t="str">
        <x:v>Bay of Plenty</x:v>
      </x:c>
      <x:c r="F317" t="str">
        <x:v>Delivered</x:v>
      </x:c>
      <x:c r="G317" t="n">
        <x:v>95</x:v>
      </x:c>
      <x:c r="H317" t="n">
        <x:v>95</x:v>
      </x:c>
      <x:c r="I317" t="n">
        <x:v>0</x:v>
      </x:c>
      <x:c r="J317" t="n">
        <x:v>15429.3</x:v>
      </x:c>
      <x:c r="K317" t="n">
        <x:v>11248</x:v>
      </x:c>
      <x:c r="L317" t="n">
        <x:f>IFERROR(DATEVALUE(D317)-DATEVALUE(B317),"")</x:f>
        <x:v>4</x:v>
      </x:c>
      <x:c r="M317" t="n">
        <x:f>IFERROR(IF(AND(DATEVALUE(D317)&lt;=DATEVALUE(C317),I317=0),1,0),0)</x:f>
        <x:v>1</x:v>
      </x:c>
    </x:row>
    <x:row r="318">
      <x:c r="A318" t="str">
        <x:v>SO0000317</x:v>
      </x:c>
      <x:c r="B318" t="str">
        <x:v>2025-02-07</x:v>
      </x:c>
      <x:c r="C318" t="str">
        <x:v>2025-02-17</x:v>
      </x:c>
      <x:c r="D318" t="str">
        <x:v>2025-02-11</x:v>
      </x:c>
      <x:c r="E318" t="str">
        <x:v>Waikato</x:v>
      </x:c>
      <x:c r="F318" t="str">
        <x:v>Partially Delivered</x:v>
      </x:c>
      <x:c r="G318" t="n">
        <x:v>100</x:v>
      </x:c>
      <x:c r="H318" t="n">
        <x:v>11</x:v>
      </x:c>
      <x:c r="I318" t="n">
        <x:v>89</x:v>
      </x:c>
      <x:c r="J318" t="n">
        <x:v>914.71</x:v>
      </x:c>
      <x:c r="K318" t="n">
        <x:v>678.97</x:v>
      </x:c>
      <x:c r="L318" t="n">
        <x:f>IFERROR(DATEVALUE(D318)-DATEVALUE(B318),"")</x:f>
        <x:v>4</x:v>
      </x:c>
      <x:c r="M318" t="n">
        <x:f>IFERROR(IF(AND(DATEVALUE(D318)&lt;=DATEVALUE(C318),I318=0),1,0),0)</x:f>
        <x:v>0</x:v>
      </x:c>
    </x:row>
    <x:row r="319">
      <x:c r="A319" t="str">
        <x:v>SO0000318</x:v>
      </x:c>
      <x:c r="B319" t="str">
        <x:v>2024-11-17</x:v>
      </x:c>
      <x:c r="C319" t="str">
        <x:v>2024-11-26</x:v>
      </x:c>
      <x:c r="D319"/>
      <x:c r="E319" t="str">
        <x:v>Canterbury</x:v>
      </x:c>
      <x:c r="F319" t="str">
        <x:v>Open</x:v>
      </x:c>
      <x:c r="G319" t="n">
        <x:v>31</x:v>
      </x:c>
      <x:c r="H319" t="n">
        <x:v>0</x:v>
      </x:c>
      <x:c r="I319" t="n">
        <x:v>31</x:v>
      </x:c>
      <x:c r="J319" t="str">
        <x:v>0.0</x:v>
      </x:c>
      <x:c r="K319" t="str">
        <x:v>0.0</x:v>
      </x:c>
      <x:c r="L319" t="str">
        <x:f>IFERROR(DATEVALUE(D319)-DATEVALUE(B319),"")</x:f>
      </x:c>
      <x:c r="M319" t="n">
        <x:f>IFERROR(IF(AND(DATEVALUE(D319)&lt;=DATEVALUE(C319),I319=0),1,0),0)</x:f>
        <x:v>0</x:v>
      </x:c>
    </x:row>
    <x:row r="320">
      <x:c r="A320" t="str">
        <x:v>SO0000319</x:v>
      </x:c>
      <x:c r="B320" t="str">
        <x:v>2026-04-30</x:v>
      </x:c>
      <x:c r="C320" t="str">
        <x:v>2026-05-07</x:v>
      </x:c>
      <x:c r="D320" t="str">
        <x:v>2026-05-03</x:v>
      </x:c>
      <x:c r="E320" t="str">
        <x:v>Auckland</x:v>
      </x:c>
      <x:c r="F320" t="str">
        <x:v>Delivered</x:v>
      </x:c>
      <x:c r="G320" t="n">
        <x:v>30</x:v>
      </x:c>
      <x:c r="H320" t="n">
        <x:v>30</x:v>
      </x:c>
      <x:c r="I320" t="n">
        <x:v>0</x:v>
      </x:c>
      <x:c r="J320" t="n">
        <x:v>5206.3</x:v>
      </x:c>
      <x:c r="K320" t="n">
        <x:v>3830.1</x:v>
      </x:c>
      <x:c r="L320" t="n">
        <x:f>IFERROR(DATEVALUE(D320)-DATEVALUE(B320),"")</x:f>
        <x:v>3</x:v>
      </x:c>
      <x:c r="M320" t="n">
        <x:f>IFERROR(IF(AND(DATEVALUE(D320)&lt;=DATEVALUE(C320),I320=0),1,0),0)</x:f>
        <x:v>1</x:v>
      </x:c>
    </x:row>
    <x:row r="321">
      <x:c r="A321" t="str">
        <x:v>SO0000320</x:v>
      </x:c>
      <x:c r="B321" t="str">
        <x:v>2025-11-19</x:v>
      </x:c>
      <x:c r="C321" t="str">
        <x:v>2025-11-26</x:v>
      </x:c>
      <x:c r="D321" t="str">
        <x:v>2025-11-26</x:v>
      </x:c>
      <x:c r="E321" t="str">
        <x:v>Wellington</x:v>
      </x:c>
      <x:c r="F321" t="str">
        <x:v>Delivered</x:v>
      </x:c>
      <x:c r="G321" t="n">
        <x:v>33</x:v>
      </x:c>
      <x:c r="H321" t="n">
        <x:v>33</x:v>
      </x:c>
      <x:c r="I321" t="n">
        <x:v>0</x:v>
      </x:c>
      <x:c r="J321" t="n">
        <x:v>925.59</x:v>
      </x:c>
      <x:c r="K321" t="n">
        <x:v>657.49</x:v>
      </x:c>
      <x:c r="L321" t="n">
        <x:f>IFERROR(DATEVALUE(D321)-DATEVALUE(B321),"")</x:f>
        <x:v>7</x:v>
      </x:c>
      <x:c r="M321" t="n">
        <x:f>IFERROR(IF(AND(DATEVALUE(D321)&lt;=DATEVALUE(C321),I321=0),1,0),0)</x:f>
        <x:v>1</x:v>
      </x:c>
    </x:row>
    <x:row r="322">
      <x:c r="A322" t="str">
        <x:v>SO0000321</x:v>
      </x:c>
      <x:c r="B322" t="str">
        <x:v>2025-12-10</x:v>
      </x:c>
      <x:c r="C322" t="str">
        <x:v>2025-12-20</x:v>
      </x:c>
      <x:c r="D322" t="str">
        <x:v>2025-12-17</x:v>
      </x:c>
      <x:c r="E322" t="str">
        <x:v>Auckland</x:v>
      </x:c>
      <x:c r="F322" t="str">
        <x:v>Delivered</x:v>
      </x:c>
      <x:c r="G322" t="n">
        <x:v>86</x:v>
      </x:c>
      <x:c r="H322" t="n">
        <x:v>86</x:v>
      </x:c>
      <x:c r="I322" t="n">
        <x:v>0</x:v>
      </x:c>
      <x:c r="J322" t="n">
        <x:v>15673.4</x:v>
      </x:c>
      <x:c r="K322" t="n">
        <x:v>10638.62</x:v>
      </x:c>
      <x:c r="L322" t="n">
        <x:f>IFERROR(DATEVALUE(D322)-DATEVALUE(B322),"")</x:f>
        <x:v>7</x:v>
      </x:c>
      <x:c r="M322" t="n">
        <x:f>IFERROR(IF(AND(DATEVALUE(D322)&lt;=DATEVALUE(C322),I322=0),1,0),0)</x:f>
        <x:v>1</x:v>
      </x:c>
    </x:row>
    <x:row r="323">
      <x:c r="A323" t="str">
        <x:v>SO0000322</x:v>
      </x:c>
      <x:c r="B323" t="str">
        <x:v>2025-01-23</x:v>
      </x:c>
      <x:c r="C323" t="str">
        <x:v>2025-01-31</x:v>
      </x:c>
      <x:c r="D323" t="str">
        <x:v>2025-01-28</x:v>
      </x:c>
      <x:c r="E323" t="str">
        <x:v>Waikato</x:v>
      </x:c>
      <x:c r="F323" t="str">
        <x:v>Delivered</x:v>
      </x:c>
      <x:c r="G323" t="n">
        <x:v>23</x:v>
      </x:c>
      <x:c r="H323" t="n">
        <x:v>23</x:v>
      </x:c>
      <x:c r="I323" t="n">
        <x:v>0</x:v>
      </x:c>
      <x:c r="J323" t="n">
        <x:v>3652.21</x:v>
      </x:c>
      <x:c r="K323" t="n">
        <x:v>2458.42</x:v>
      </x:c>
      <x:c r="L323" t="n">
        <x:f>IFERROR(DATEVALUE(D323)-DATEVALUE(B323),"")</x:f>
        <x:v>5</x:v>
      </x:c>
      <x:c r="M323" t="n">
        <x:f>IFERROR(IF(AND(DATEVALUE(D323)&lt;=DATEVALUE(C323),I323=0),1,0),0)</x:f>
        <x:v>1</x:v>
      </x:c>
    </x:row>
    <x:row r="324">
      <x:c r="A324" t="str">
        <x:v>SO0000323</x:v>
      </x:c>
      <x:c r="B324" t="str">
        <x:v>2025-07-28</x:v>
      </x:c>
      <x:c r="C324" t="str">
        <x:v>2025-08-05</x:v>
      </x:c>
      <x:c r="D324" t="str">
        <x:v>2025-08-03</x:v>
      </x:c>
      <x:c r="E324" t="str">
        <x:v>Auckland</x:v>
      </x:c>
      <x:c r="F324" t="str">
        <x:v>Delivered</x:v>
      </x:c>
      <x:c r="G324" t="n">
        <x:v>8</x:v>
      </x:c>
      <x:c r="H324" t="n">
        <x:v>8</x:v>
      </x:c>
      <x:c r="I324" t="n">
        <x:v>0</x:v>
      </x:c>
      <x:c r="J324" t="n">
        <x:v>437.44</x:v>
      </x:c>
      <x:c r="K324" t="n">
        <x:v>332.8</x:v>
      </x:c>
      <x:c r="L324" t="n">
        <x:f>IFERROR(DATEVALUE(D324)-DATEVALUE(B324),"")</x:f>
        <x:v>6</x:v>
      </x:c>
      <x:c r="M324" t="n">
        <x:f>IFERROR(IF(AND(DATEVALUE(D324)&lt;=DATEVALUE(C324),I324=0),1,0),0)</x:f>
        <x:v>1</x:v>
      </x:c>
    </x:row>
    <x:row r="325">
      <x:c r="A325" t="str">
        <x:v>SO0000324</x:v>
      </x:c>
      <x:c r="B325" t="str">
        <x:v>2026-09-19</x:v>
      </x:c>
      <x:c r="C325" t="str">
        <x:v>2026-09-30</x:v>
      </x:c>
      <x:c r="D325" t="str">
        <x:v>2026-09-23</x:v>
      </x:c>
      <x:c r="E325" t="str">
        <x:v>Wellington</x:v>
      </x:c>
      <x:c r="F325" t="str">
        <x:v>Delivered</x:v>
      </x:c>
      <x:c r="G325" t="n">
        <x:v>48</x:v>
      </x:c>
      <x:c r="H325" t="n">
        <x:v>48</x:v>
      </x:c>
      <x:c r="I325" t="n">
        <x:v>0</x:v>
      </x:c>
      <x:c r="J325" t="n">
        <x:v>3056.16</x:v>
      </x:c>
      <x:c r="K325" t="n">
        <x:v>2435.04</x:v>
      </x:c>
      <x:c r="L325" t="n">
        <x:f>IFERROR(DATEVALUE(D325)-DATEVALUE(B325),"")</x:f>
        <x:v>4</x:v>
      </x:c>
      <x:c r="M325" t="n">
        <x:f>IFERROR(IF(AND(DATEVALUE(D325)&lt;=DATEVALUE(C325),I325=0),1,0),0)</x:f>
        <x:v>1</x:v>
      </x:c>
    </x:row>
    <x:row r="326">
      <x:c r="A326" t="str">
        <x:v>SO0000325</x:v>
      </x:c>
      <x:c r="B326" t="str">
        <x:v>2026-06-05</x:v>
      </x:c>
      <x:c r="C326" t="str">
        <x:v>2026-06-11</x:v>
      </x:c>
      <x:c r="D326" t="str">
        <x:v>2026-06-11</x:v>
      </x:c>
      <x:c r="E326" t="str">
        <x:v>Waikato</x:v>
      </x:c>
      <x:c r="F326" t="str">
        <x:v>Partially Delivered</x:v>
      </x:c>
      <x:c r="G326" t="n">
        <x:v>43</x:v>
      </x:c>
      <x:c r="H326" t="n">
        <x:v>5</x:v>
      </x:c>
      <x:c r="I326" t="n">
        <x:v>38</x:v>
      </x:c>
      <x:c r="J326" t="n">
        <x:v>299.65</x:v>
      </x:c>
      <x:c r="K326" t="n">
        <x:v>227</x:v>
      </x:c>
      <x:c r="L326" t="n">
        <x:f>IFERROR(DATEVALUE(D326)-DATEVALUE(B326),"")</x:f>
        <x:v>6</x:v>
      </x:c>
      <x:c r="M326" t="n">
        <x:f>IFERROR(IF(AND(DATEVALUE(D326)&lt;=DATEVALUE(C326),I326=0),1,0),0)</x:f>
        <x:v>0</x:v>
      </x:c>
    </x:row>
    <x:row r="327">
      <x:c r="A327" t="str">
        <x:v>SO0000326</x:v>
      </x:c>
      <x:c r="B327" t="str">
        <x:v>2026-08-28</x:v>
      </x:c>
      <x:c r="C327" t="str">
        <x:v>2026-09-06</x:v>
      </x:c>
      <x:c r="D327" t="str">
        <x:v>2026-09-02</x:v>
      </x:c>
      <x:c r="E327" t="str">
        <x:v>Wellington</x:v>
      </x:c>
      <x:c r="F327" t="str">
        <x:v>Delivered</x:v>
      </x:c>
      <x:c r="G327" t="n">
        <x:v>18</x:v>
      </x:c>
      <x:c r="H327" t="n">
        <x:v>18</x:v>
      </x:c>
      <x:c r="I327" t="n">
        <x:v>0</x:v>
      </x:c>
      <x:c r="J327" t="n">
        <x:v>598.66</x:v>
      </x:c>
      <x:c r="K327" t="n">
        <x:v>471.9</x:v>
      </x:c>
      <x:c r="L327" t="n">
        <x:f>IFERROR(DATEVALUE(D327)-DATEVALUE(B327),"")</x:f>
        <x:v>5</x:v>
      </x:c>
      <x:c r="M327" t="n">
        <x:f>IFERROR(IF(AND(DATEVALUE(D327)&lt;=DATEVALUE(C327),I327=0),1,0),0)</x:f>
        <x:v>1</x:v>
      </x:c>
    </x:row>
    <x:row r="328">
      <x:c r="A328" t="str">
        <x:v>SO0000327</x:v>
      </x:c>
      <x:c r="B328" t="str">
        <x:v>2026-06-18</x:v>
      </x:c>
      <x:c r="C328" t="str">
        <x:v>2026-06-24</x:v>
      </x:c>
      <x:c r="D328"/>
      <x:c r="E328" t="str">
        <x:v>Bay of Plenty</x:v>
      </x:c>
      <x:c r="F328" t="str">
        <x:v>Open</x:v>
      </x:c>
      <x:c r="G328" t="n">
        <x:v>22</x:v>
      </x:c>
      <x:c r="H328" t="n">
        <x:v>0</x:v>
      </x:c>
      <x:c r="I328" t="n">
        <x:v>22</x:v>
      </x:c>
      <x:c r="J328" t="str">
        <x:v>0.0</x:v>
      </x:c>
      <x:c r="K328" t="str">
        <x:v>0.0</x:v>
      </x:c>
      <x:c r="L328" t="str">
        <x:f>IFERROR(DATEVALUE(D328)-DATEVALUE(B328),"")</x:f>
      </x:c>
      <x:c r="M328" t="n">
        <x:f>IFERROR(IF(AND(DATEVALUE(D328)&lt;=DATEVALUE(C328),I328=0),1,0),0)</x:f>
        <x:v>0</x:v>
      </x:c>
    </x:row>
    <x:row r="329">
      <x:c r="A329" t="str">
        <x:v>SO0000328</x:v>
      </x:c>
      <x:c r="B329" t="str">
        <x:v>2025-02-03</x:v>
      </x:c>
      <x:c r="C329" t="str">
        <x:v>2025-02-11</x:v>
      </x:c>
      <x:c r="D329" t="str">
        <x:v>2025-02-07</x:v>
      </x:c>
      <x:c r="E329" t="str">
        <x:v>Canterbury</x:v>
      </x:c>
      <x:c r="F329" t="str">
        <x:v>Delivered</x:v>
      </x:c>
      <x:c r="G329" t="n">
        <x:v>16</x:v>
      </x:c>
      <x:c r="H329" t="n">
        <x:v>16</x:v>
      </x:c>
      <x:c r="I329" t="n">
        <x:v>0</x:v>
      </x:c>
      <x:c r="J329" t="n">
        <x:v>546.64</x:v>
      </x:c>
      <x:c r="K329" t="n">
        <x:v>365.6</x:v>
      </x:c>
      <x:c r="L329" t="n">
        <x:f>IFERROR(DATEVALUE(D329)-DATEVALUE(B329),"")</x:f>
        <x:v>4</x:v>
      </x:c>
      <x:c r="M329" t="n">
        <x:f>IFERROR(IF(AND(DATEVALUE(D329)&lt;=DATEVALUE(C329),I329=0),1,0),0)</x:f>
        <x:v>1</x:v>
      </x:c>
    </x:row>
    <x:row r="330">
      <x:c r="A330" t="str">
        <x:v>SO0000329</x:v>
      </x:c>
      <x:c r="B330" t="str">
        <x:v>2026-05-19</x:v>
      </x:c>
      <x:c r="C330" t="str">
        <x:v>2026-05-29</x:v>
      </x:c>
      <x:c r="D330" t="str">
        <x:v>2026-05-23</x:v>
      </x:c>
      <x:c r="E330" t="str">
        <x:v>Waikato</x:v>
      </x:c>
      <x:c r="F330" t="str">
        <x:v>Delivered</x:v>
      </x:c>
      <x:c r="G330" t="n">
        <x:v>4</x:v>
      </x:c>
      <x:c r="H330" t="n">
        <x:v>4</x:v>
      </x:c>
      <x:c r="I330" t="n">
        <x:v>0</x:v>
      </x:c>
      <x:c r="J330" t="n">
        <x:v>567.41</x:v>
      </x:c>
      <x:c r="K330" t="n">
        <x:v>381.63</x:v>
      </x:c>
      <x:c r="L330" t="n">
        <x:f>IFERROR(DATEVALUE(D330)-DATEVALUE(B330),"")</x:f>
        <x:v>4</x:v>
      </x:c>
      <x:c r="M330" t="n">
        <x:f>IFERROR(IF(AND(DATEVALUE(D330)&lt;=DATEVALUE(C330),I330=0),1,0),0)</x:f>
        <x:v>1</x:v>
      </x:c>
    </x:row>
    <x:row r="331">
      <x:c r="A331" t="str">
        <x:v>SO0000330</x:v>
      </x:c>
      <x:c r="B331" t="str">
        <x:v>2025-03-12</x:v>
      </x:c>
      <x:c r="C331" t="str">
        <x:v>2025-03-21</x:v>
      </x:c>
      <x:c r="D331" t="str">
        <x:v>2025-03-16</x:v>
      </x:c>
      <x:c r="E331" t="str">
        <x:v>Auckland</x:v>
      </x:c>
      <x:c r="F331" t="str">
        <x:v>Delivered</x:v>
      </x:c>
      <x:c r="G331" t="n">
        <x:v>33</x:v>
      </x:c>
      <x:c r="H331" t="n">
        <x:v>33</x:v>
      </x:c>
      <x:c r="I331" t="n">
        <x:v>0</x:v>
      </x:c>
      <x:c r="J331" t="n">
        <x:v>5793.15</x:v>
      </x:c>
      <x:c r="K331" t="n">
        <x:v>3880.2</x:v>
      </x:c>
      <x:c r="L331" t="n">
        <x:f>IFERROR(DATEVALUE(D331)-DATEVALUE(B331),"")</x:f>
        <x:v>4</x:v>
      </x:c>
      <x:c r="M331" t="n">
        <x:f>IFERROR(IF(AND(DATEVALUE(D331)&lt;=DATEVALUE(C331),I331=0),1,0),0)</x:f>
        <x:v>1</x:v>
      </x:c>
    </x:row>
    <x:row r="332">
      <x:c r="A332" t="str">
        <x:v>SO0000331</x:v>
      </x:c>
      <x:c r="B332" t="str">
        <x:v>2025-09-10</x:v>
      </x:c>
      <x:c r="C332" t="str">
        <x:v>2025-09-17</x:v>
      </x:c>
      <x:c r="D332" t="str">
        <x:v>2025-09-16</x:v>
      </x:c>
      <x:c r="E332" t="str">
        <x:v>Waikato</x:v>
      </x:c>
      <x:c r="F332" t="str">
        <x:v>Delivered</x:v>
      </x:c>
      <x:c r="G332" t="n">
        <x:v>23</x:v>
      </x:c>
      <x:c r="H332" t="n">
        <x:v>23</x:v>
      </x:c>
      <x:c r="I332" t="n">
        <x:v>0</x:v>
      </x:c>
      <x:c r="J332" t="n">
        <x:v>1806.4</x:v>
      </x:c>
      <x:c r="K332" t="n">
        <x:v>1257</x:v>
      </x:c>
      <x:c r="L332" t="n">
        <x:f>IFERROR(DATEVALUE(D332)-DATEVALUE(B332),"")</x:f>
        <x:v>6</x:v>
      </x:c>
      <x:c r="M332" t="n">
        <x:f>IFERROR(IF(AND(DATEVALUE(D332)&lt;=DATEVALUE(C332),I332=0),1,0),0)</x:f>
        <x:v>1</x:v>
      </x:c>
    </x:row>
    <x:row r="333">
      <x:c r="A333" t="str">
        <x:v>SO0000332</x:v>
      </x:c>
      <x:c r="B333" t="str">
        <x:v>2025-03-26</x:v>
      </x:c>
      <x:c r="C333" t="str">
        <x:v>2025-04-04</x:v>
      </x:c>
      <x:c r="D333" t="str">
        <x:v>2025-04-03</x:v>
      </x:c>
      <x:c r="E333" t="str">
        <x:v>Bay of Plenty</x:v>
      </x:c>
      <x:c r="F333" t="str">
        <x:v>Delivered</x:v>
      </x:c>
      <x:c r="G333" t="n">
        <x:v>30</x:v>
      </x:c>
      <x:c r="H333" t="n">
        <x:v>30</x:v>
      </x:c>
      <x:c r="I333" t="n">
        <x:v>0</x:v>
      </x:c>
      <x:c r="J333" t="n">
        <x:v>3792.4</x:v>
      </x:c>
      <x:c r="K333" t="n">
        <x:v>2776.4</x:v>
      </x:c>
      <x:c r="L333" t="n">
        <x:f>IFERROR(DATEVALUE(D333)-DATEVALUE(B333),"")</x:f>
        <x:v>8</x:v>
      </x:c>
      <x:c r="M333" t="n">
        <x:f>IFERROR(IF(AND(DATEVALUE(D333)&lt;=DATEVALUE(C333),I333=0),1,0),0)</x:f>
        <x:v>1</x:v>
      </x:c>
    </x:row>
    <x:row r="334">
      <x:c r="A334" t="str">
        <x:v>SO0000333</x:v>
      </x:c>
      <x:c r="B334" t="str">
        <x:v>2026-09-07</x:v>
      </x:c>
      <x:c r="C334" t="str">
        <x:v>2026-09-13</x:v>
      </x:c>
      <x:c r="D334" t="str">
        <x:v>2026-09-12</x:v>
      </x:c>
      <x:c r="E334" t="str">
        <x:v>Auckland</x:v>
      </x:c>
      <x:c r="F334" t="str">
        <x:v>Partially Delivered</x:v>
      </x:c>
      <x:c r="G334" t="n">
        <x:v>57</x:v>
      </x:c>
      <x:c r="H334" t="n">
        <x:v>8</x:v>
      </x:c>
      <x:c r="I334" t="n">
        <x:v>49</x:v>
      </x:c>
      <x:c r="J334" t="n">
        <x:v>1312.88</x:v>
      </x:c>
      <x:c r="K334" t="n">
        <x:v>953.76</x:v>
      </x:c>
      <x:c r="L334" t="n">
        <x:f>IFERROR(DATEVALUE(D334)-DATEVALUE(B334),"")</x:f>
        <x:v>5</x:v>
      </x:c>
      <x:c r="M334" t="n">
        <x:f>IFERROR(IF(AND(DATEVALUE(D334)&lt;=DATEVALUE(C334),I334=0),1,0),0)</x:f>
        <x:v>0</x:v>
      </x:c>
    </x:row>
    <x:row r="335">
      <x:c r="A335" t="str">
        <x:v>SO0000334</x:v>
      </x:c>
      <x:c r="B335" t="str">
        <x:v>2024-12-19</x:v>
      </x:c>
      <x:c r="C335" t="str">
        <x:v>2024-12-28</x:v>
      </x:c>
      <x:c r="D335" t="str">
        <x:v>2024-12-25</x:v>
      </x:c>
      <x:c r="E335" t="str">
        <x:v>Auckland</x:v>
      </x:c>
      <x:c r="F335" t="str">
        <x:v>Delivered</x:v>
      </x:c>
      <x:c r="G335" t="n">
        <x:v>25</x:v>
      </x:c>
      <x:c r="H335" t="n">
        <x:v>25</x:v>
      </x:c>
      <x:c r="I335" t="n">
        <x:v>0</x:v>
      </x:c>
      <x:c r="J335" t="n">
        <x:v>1202.8</x:v>
      </x:c>
      <x:c r="K335" t="n">
        <x:v>904.85</x:v>
      </x:c>
      <x:c r="L335" t="n">
        <x:f>IFERROR(DATEVALUE(D335)-DATEVALUE(B335),"")</x:f>
        <x:v>6</x:v>
      </x:c>
      <x:c r="M335" t="n">
        <x:f>IFERROR(IF(AND(DATEVALUE(D335)&lt;=DATEVALUE(C335),I335=0),1,0),0)</x:f>
        <x:v>1</x:v>
      </x:c>
    </x:row>
    <x:row r="336">
      <x:c r="A336" t="str">
        <x:v>SO0000335</x:v>
      </x:c>
      <x:c r="B336" t="str">
        <x:v>2025-04-16</x:v>
      </x:c>
      <x:c r="C336" t="str">
        <x:v>2025-04-24</x:v>
      </x:c>
      <x:c r="D336" t="str">
        <x:v>2025-04-24</x:v>
      </x:c>
      <x:c r="E336" t="str">
        <x:v>Bay of Plenty</x:v>
      </x:c>
      <x:c r="F336" t="str">
        <x:v>Delivered</x:v>
      </x:c>
      <x:c r="G336" t="n">
        <x:v>38</x:v>
      </x:c>
      <x:c r="H336" t="n">
        <x:v>38</x:v>
      </x:c>
      <x:c r="I336" t="n">
        <x:v>0</x:v>
      </x:c>
      <x:c r="J336" t="n">
        <x:v>4630.9</x:v>
      </x:c>
      <x:c r="K336" t="n">
        <x:v>3517.2</x:v>
      </x:c>
      <x:c r="L336" t="n">
        <x:f>IFERROR(DATEVALUE(D336)-DATEVALUE(B336),"")</x:f>
        <x:v>8</x:v>
      </x:c>
      <x:c r="M336" t="n">
        <x:f>IFERROR(IF(AND(DATEVALUE(D336)&lt;=DATEVALUE(C336),I336=0),1,0),0)</x:f>
        <x:v>1</x:v>
      </x:c>
    </x:row>
    <x:row r="337">
      <x:c r="A337" t="str">
        <x:v>SO0000336</x:v>
      </x:c>
      <x:c r="B337" t="str">
        <x:v>2025-11-27</x:v>
      </x:c>
      <x:c r="C337" t="str">
        <x:v>2025-12-03</x:v>
      </x:c>
      <x:c r="D337" t="str">
        <x:v>2025-11-30</x:v>
      </x:c>
      <x:c r="E337" t="str">
        <x:v>Canterbury</x:v>
      </x:c>
      <x:c r="F337" t="str">
        <x:v>Delivered</x:v>
      </x:c>
      <x:c r="G337" t="n">
        <x:v>15</x:v>
      </x:c>
      <x:c r="H337" t="n">
        <x:v>15</x:v>
      </x:c>
      <x:c r="I337" t="n">
        <x:v>0</x:v>
      </x:c>
      <x:c r="J337" t="n">
        <x:v>2623.8</x:v>
      </x:c>
      <x:c r="K337" t="n">
        <x:v>2041.2</x:v>
      </x:c>
      <x:c r="L337" t="n">
        <x:f>IFERROR(DATEVALUE(D337)-DATEVALUE(B337),"")</x:f>
        <x:v>3</x:v>
      </x:c>
      <x:c r="M337" t="n">
        <x:f>IFERROR(IF(AND(DATEVALUE(D337)&lt;=DATEVALUE(C337),I337=0),1,0),0)</x:f>
        <x:v>1</x:v>
      </x:c>
    </x:row>
    <x:row r="338">
      <x:c r="A338" t="str">
        <x:v>SO0000337</x:v>
      </x:c>
      <x:c r="B338" t="str">
        <x:v>2026-04-13</x:v>
      </x:c>
      <x:c r="C338" t="str">
        <x:v>2026-04-18</x:v>
      </x:c>
      <x:c r="D338" t="str">
        <x:v>2026-04-17</x:v>
      </x:c>
      <x:c r="E338" t="str">
        <x:v>Auckland</x:v>
      </x:c>
      <x:c r="F338" t="str">
        <x:v>Partially Delivered</x:v>
      </x:c>
      <x:c r="G338" t="n">
        <x:v>75</x:v>
      </x:c>
      <x:c r="H338" t="n">
        <x:v>55</x:v>
      </x:c>
      <x:c r="I338" t="n">
        <x:v>20</x:v>
      </x:c>
      <x:c r="J338" t="n">
        <x:v>7626.8</x:v>
      </x:c>
      <x:c r="K338" t="n">
        <x:v>5997.9</x:v>
      </x:c>
      <x:c r="L338" t="n">
        <x:f>IFERROR(DATEVALUE(D338)-DATEVALUE(B338),"")</x:f>
        <x:v>4</x:v>
      </x:c>
      <x:c r="M338" t="n">
        <x:f>IFERROR(IF(AND(DATEVALUE(D338)&lt;=DATEVALUE(C338),I338=0),1,0),0)</x:f>
        <x:v>0</x:v>
      </x:c>
    </x:row>
    <x:row r="339">
      <x:c r="A339" t="str">
        <x:v>SO0000338</x:v>
      </x:c>
      <x:c r="B339" t="str">
        <x:v>2025-03-17</x:v>
      </x:c>
      <x:c r="C339" t="str">
        <x:v>2025-03-25</x:v>
      </x:c>
      <x:c r="D339" t="str">
        <x:v>2025-03-23</x:v>
      </x:c>
      <x:c r="E339" t="str">
        <x:v>Auckland</x:v>
      </x:c>
      <x:c r="F339" t="str">
        <x:v>Delivered</x:v>
      </x:c>
      <x:c r="G339" t="n">
        <x:v>45</x:v>
      </x:c>
      <x:c r="H339" t="n">
        <x:v>45</x:v>
      </x:c>
      <x:c r="I339" t="n">
        <x:v>0</x:v>
      </x:c>
      <x:c r="J339" t="n">
        <x:v>7531.5</x:v>
      </x:c>
      <x:c r="K339" t="n">
        <x:v>5518.55</x:v>
      </x:c>
      <x:c r="L339" t="n">
        <x:f>IFERROR(DATEVALUE(D339)-DATEVALUE(B339),"")</x:f>
        <x:v>6</x:v>
      </x:c>
      <x:c r="M339" t="n">
        <x:f>IFERROR(IF(AND(DATEVALUE(D339)&lt;=DATEVALUE(C339),I339=0),1,0),0)</x:f>
        <x:v>1</x:v>
      </x:c>
    </x:row>
    <x:row r="340">
      <x:c r="A340" t="str">
        <x:v>SO0000339</x:v>
      </x:c>
      <x:c r="B340" t="str">
        <x:v>2024-12-31</x:v>
      </x:c>
      <x:c r="C340" t="str">
        <x:v>2025-01-05</x:v>
      </x:c>
      <x:c r="D340" t="str">
        <x:v>2025-01-06</x:v>
      </x:c>
      <x:c r="E340" t="str">
        <x:v>Canterbury</x:v>
      </x:c>
      <x:c r="F340" t="str">
        <x:v>Delivered</x:v>
      </x:c>
      <x:c r="G340" t="n">
        <x:v>36</x:v>
      </x:c>
      <x:c r="H340" t="n">
        <x:v>36</x:v>
      </x:c>
      <x:c r="I340" t="n">
        <x:v>0</x:v>
      </x:c>
      <x:c r="J340" t="n">
        <x:v>2544.05</x:v>
      </x:c>
      <x:c r="K340" t="n">
        <x:v>1891.29</x:v>
      </x:c>
      <x:c r="L340" t="n">
        <x:f>IFERROR(DATEVALUE(D340)-DATEVALUE(B340),"")</x:f>
        <x:v>6</x:v>
      </x:c>
      <x:c r="M340" t="n">
        <x:f>IFERROR(IF(AND(DATEVALUE(D340)&lt;=DATEVALUE(C340),I340=0),1,0),0)</x:f>
        <x:v>0</x:v>
      </x:c>
    </x:row>
    <x:row r="341">
      <x:c r="A341" t="str">
        <x:v>SO0000340</x:v>
      </x:c>
      <x:c r="B341" t="str">
        <x:v>2025-02-13</x:v>
      </x:c>
      <x:c r="C341" t="str">
        <x:v>2025-02-20</x:v>
      </x:c>
      <x:c r="D341" t="str">
        <x:v>2025-02-19</x:v>
      </x:c>
      <x:c r="E341" t="str">
        <x:v>Auckland</x:v>
      </x:c>
      <x:c r="F341" t="str">
        <x:v>Partially Delivered</x:v>
      </x:c>
      <x:c r="G341" t="n">
        <x:v>18</x:v>
      </x:c>
      <x:c r="H341" t="n">
        <x:v>8</x:v>
      </x:c>
      <x:c r="I341" t="n">
        <x:v>10</x:v>
      </x:c>
      <x:c r="J341" t="n">
        <x:v>207.68</x:v>
      </x:c>
      <x:c r="K341" t="n">
        <x:v>139.76</x:v>
      </x:c>
      <x:c r="L341" t="n">
        <x:f>IFERROR(DATEVALUE(D341)-DATEVALUE(B341),"")</x:f>
        <x:v>6</x:v>
      </x:c>
      <x:c r="M341" t="n">
        <x:f>IFERROR(IF(AND(DATEVALUE(D341)&lt;=DATEVALUE(C341),I341=0),1,0),0)</x:f>
        <x:v>0</x:v>
      </x:c>
    </x:row>
    <x:row r="342">
      <x:c r="A342" t="str">
        <x:v>SO0000341</x:v>
      </x:c>
      <x:c r="B342" t="str">
        <x:v>2025-02-17</x:v>
      </x:c>
      <x:c r="C342" t="str">
        <x:v>2025-02-23</x:v>
      </x:c>
      <x:c r="D342" t="str">
        <x:v>2025-02-26</x:v>
      </x:c>
      <x:c r="E342" t="str">
        <x:v>Waikato</x:v>
      </x:c>
      <x:c r="F342" t="str">
        <x:v>Delivered</x:v>
      </x:c>
      <x:c r="G342" t="n">
        <x:v>56</x:v>
      </x:c>
      <x:c r="H342" t="n">
        <x:v>56</x:v>
      </x:c>
      <x:c r="I342" t="n">
        <x:v>0</x:v>
      </x:c>
      <x:c r="J342" t="n">
        <x:v>4783.31</x:v>
      </x:c>
      <x:c r="K342" t="n">
        <x:v>3587.99</x:v>
      </x:c>
      <x:c r="L342" t="n">
        <x:f>IFERROR(DATEVALUE(D342)-DATEVALUE(B342),"")</x:f>
        <x:v>9</x:v>
      </x:c>
      <x:c r="M342" t="n">
        <x:f>IFERROR(IF(AND(DATEVALUE(D342)&lt;=DATEVALUE(C342),I342=0),1,0),0)</x:f>
        <x:v>0</x:v>
      </x:c>
    </x:row>
    <x:row r="343">
      <x:c r="A343" t="str">
        <x:v>SO0000342</x:v>
      </x:c>
      <x:c r="B343" t="str">
        <x:v>2026-05-25</x:v>
      </x:c>
      <x:c r="C343" t="str">
        <x:v>2026-06-04</x:v>
      </x:c>
      <x:c r="D343" t="str">
        <x:v>2026-06-01</x:v>
      </x:c>
      <x:c r="E343" t="str">
        <x:v>Wellington</x:v>
      </x:c>
      <x:c r="F343" t="str">
        <x:v>Delivered</x:v>
      </x:c>
      <x:c r="G343" t="n">
        <x:v>40</x:v>
      </x:c>
      <x:c r="H343" t="n">
        <x:v>40</x:v>
      </x:c>
      <x:c r="I343" t="n">
        <x:v>0</x:v>
      </x:c>
      <x:c r="J343" t="n">
        <x:v>1096.3</x:v>
      </x:c>
      <x:c r="K343" t="n">
        <x:v>866.55</x:v>
      </x:c>
      <x:c r="L343" t="n">
        <x:f>IFERROR(DATEVALUE(D343)-DATEVALUE(B343),"")</x:f>
        <x:v>7</x:v>
      </x:c>
      <x:c r="M343" t="n">
        <x:f>IFERROR(IF(AND(DATEVALUE(D343)&lt;=DATEVALUE(C343),I343=0),1,0),0)</x:f>
        <x:v>1</x:v>
      </x:c>
    </x:row>
    <x:row r="344">
      <x:c r="A344" t="str">
        <x:v>SO0000343</x:v>
      </x:c>
      <x:c r="B344" t="str">
        <x:v>2024-10-06</x:v>
      </x:c>
      <x:c r="C344" t="str">
        <x:v>2024-10-14</x:v>
      </x:c>
      <x:c r="D344" t="str">
        <x:v>2024-10-10</x:v>
      </x:c>
      <x:c r="E344" t="str">
        <x:v>Waikato</x:v>
      </x:c>
      <x:c r="F344" t="str">
        <x:v>Delivered</x:v>
      </x:c>
      <x:c r="G344" t="n">
        <x:v>43</x:v>
      </x:c>
      <x:c r="H344" t="n">
        <x:v>43</x:v>
      </x:c>
      <x:c r="I344" t="n">
        <x:v>0</x:v>
      </x:c>
      <x:c r="J344" t="n">
        <x:v>5739.55</x:v>
      </x:c>
      <x:c r="K344" t="n">
        <x:v>4465.47</x:v>
      </x:c>
      <x:c r="L344" t="n">
        <x:f>IFERROR(DATEVALUE(D344)-DATEVALUE(B344),"")</x:f>
        <x:v>4</x:v>
      </x:c>
      <x:c r="M344" t="n">
        <x:f>IFERROR(IF(AND(DATEVALUE(D344)&lt;=DATEVALUE(C344),I344=0),1,0),0)</x:f>
        <x:v>1</x:v>
      </x:c>
    </x:row>
    <x:row r="345">
      <x:c r="A345" t="str">
        <x:v>SO0000344</x:v>
      </x:c>
      <x:c r="B345" t="str">
        <x:v>2025-09-04</x:v>
      </x:c>
      <x:c r="C345" t="str">
        <x:v>2025-09-09</x:v>
      </x:c>
      <x:c r="D345" t="str">
        <x:v>2025-09-09</x:v>
      </x:c>
      <x:c r="E345" t="str">
        <x:v>Canterbury</x:v>
      </x:c>
      <x:c r="F345" t="str">
        <x:v>Delivered</x:v>
      </x:c>
      <x:c r="G345" t="n">
        <x:v>23</x:v>
      </x:c>
      <x:c r="H345" t="n">
        <x:v>23</x:v>
      </x:c>
      <x:c r="I345" t="n">
        <x:v>0</x:v>
      </x:c>
      <x:c r="J345" t="n">
        <x:v>2163.39</x:v>
      </x:c>
      <x:c r="K345" t="n">
        <x:v>1444.68</x:v>
      </x:c>
      <x:c r="L345" t="n">
        <x:f>IFERROR(DATEVALUE(D345)-DATEVALUE(B345),"")</x:f>
        <x:v>5</x:v>
      </x:c>
      <x:c r="M345" t="n">
        <x:f>IFERROR(IF(AND(DATEVALUE(D345)&lt;=DATEVALUE(C345),I345=0),1,0),0)</x:f>
        <x:v>1</x:v>
      </x:c>
    </x:row>
    <x:row r="346">
      <x:c r="A346" t="str">
        <x:v>SO0000345</x:v>
      </x:c>
      <x:c r="B346" t="str">
        <x:v>2026-01-11</x:v>
      </x:c>
      <x:c r="C346" t="str">
        <x:v>2026-01-20</x:v>
      </x:c>
      <x:c r="D346" t="str">
        <x:v>2026-01-17</x:v>
      </x:c>
      <x:c r="E346" t="str">
        <x:v>Auckland</x:v>
      </x:c>
      <x:c r="F346" t="str">
        <x:v>Delivered</x:v>
      </x:c>
      <x:c r="G346" t="n">
        <x:v>10</x:v>
      </x:c>
      <x:c r="H346" t="n">
        <x:v>10</x:v>
      </x:c>
      <x:c r="I346" t="n">
        <x:v>0</x:v>
      </x:c>
      <x:c r="J346" t="n">
        <x:v>574.6</x:v>
      </x:c>
      <x:c r="K346" t="n">
        <x:v>375.8</x:v>
      </x:c>
      <x:c r="L346" t="n">
        <x:f>IFERROR(DATEVALUE(D346)-DATEVALUE(B346),"")</x:f>
        <x:v>6</x:v>
      </x:c>
      <x:c r="M346" t="n">
        <x:f>IFERROR(IF(AND(DATEVALUE(D346)&lt;=DATEVALUE(C346),I346=0),1,0),0)</x:f>
        <x:v>1</x:v>
      </x:c>
    </x:row>
    <x:row r="347">
      <x:c r="A347" t="str">
        <x:v>SO0000346</x:v>
      </x:c>
      <x:c r="B347" t="str">
        <x:v>2026-04-07</x:v>
      </x:c>
      <x:c r="C347" t="str">
        <x:v>2026-04-13</x:v>
      </x:c>
      <x:c r="D347" t="str">
        <x:v>2026-04-13</x:v>
      </x:c>
      <x:c r="E347" t="str">
        <x:v>Canterbury</x:v>
      </x:c>
      <x:c r="F347" t="str">
        <x:v>Partially Delivered</x:v>
      </x:c>
      <x:c r="G347" t="n">
        <x:v>85</x:v>
      </x:c>
      <x:c r="H347" t="n">
        <x:v>65</x:v>
      </x:c>
      <x:c r="I347" t="n">
        <x:v>20</x:v>
      </x:c>
      <x:c r="J347" t="n">
        <x:v>6922.6</x:v>
      </x:c>
      <x:c r="K347" t="n">
        <x:v>4852.15</x:v>
      </x:c>
      <x:c r="L347" t="n">
        <x:f>IFERROR(DATEVALUE(D347)-DATEVALUE(B347),"")</x:f>
        <x:v>6</x:v>
      </x:c>
      <x:c r="M347" t="n">
        <x:f>IFERROR(IF(AND(DATEVALUE(D347)&lt;=DATEVALUE(C347),I347=0),1,0),0)</x:f>
        <x:v>0</x:v>
      </x:c>
    </x:row>
    <x:row r="348">
      <x:c r="A348" t="str">
        <x:v>SO0000347</x:v>
      </x:c>
      <x:c r="B348" t="str">
        <x:v>2025-07-21</x:v>
      </x:c>
      <x:c r="C348" t="str">
        <x:v>2025-07-30</x:v>
      </x:c>
      <x:c r="D348" t="str">
        <x:v>2025-07-24</x:v>
      </x:c>
      <x:c r="E348" t="str">
        <x:v>Canterbury</x:v>
      </x:c>
      <x:c r="F348" t="str">
        <x:v>Delivered</x:v>
      </x:c>
      <x:c r="G348" t="n">
        <x:v>18</x:v>
      </x:c>
      <x:c r="H348" t="n">
        <x:v>18</x:v>
      </x:c>
      <x:c r="I348" t="n">
        <x:v>0</x:v>
      </x:c>
      <x:c r="J348" t="n">
        <x:v>2977.14</x:v>
      </x:c>
      <x:c r="K348" t="n">
        <x:v>2162.28</x:v>
      </x:c>
      <x:c r="L348" t="n">
        <x:f>IFERROR(DATEVALUE(D348)-DATEVALUE(B348),"")</x:f>
        <x:v>3</x:v>
      </x:c>
      <x:c r="M348" t="n">
        <x:f>IFERROR(IF(AND(DATEVALUE(D348)&lt;=DATEVALUE(C348),I348=0),1,0),0)</x:f>
        <x:v>1</x:v>
      </x:c>
    </x:row>
    <x:row r="349">
      <x:c r="A349" t="str">
        <x:v>SO0000348</x:v>
      </x:c>
      <x:c r="B349" t="str">
        <x:v>2025-04-04</x:v>
      </x:c>
      <x:c r="C349" t="str">
        <x:v>2025-04-14</x:v>
      </x:c>
      <x:c r="D349" t="str">
        <x:v>2025-04-13</x:v>
      </x:c>
      <x:c r="E349" t="str">
        <x:v>Auckland</x:v>
      </x:c>
      <x:c r="F349" t="str">
        <x:v>Delivered</x:v>
      </x:c>
      <x:c r="G349" t="n">
        <x:v>40</x:v>
      </x:c>
      <x:c r="H349" t="n">
        <x:v>40</x:v>
      </x:c>
      <x:c r="I349" t="n">
        <x:v>0</x:v>
      </x:c>
      <x:c r="J349" t="n">
        <x:v>6611.45</x:v>
      </x:c>
      <x:c r="K349" t="n">
        <x:v>4706.45</x:v>
      </x:c>
      <x:c r="L349" t="n">
        <x:f>IFERROR(DATEVALUE(D349)-DATEVALUE(B349),"")</x:f>
        <x:v>9</x:v>
      </x:c>
      <x:c r="M349" t="n">
        <x:f>IFERROR(IF(AND(DATEVALUE(D349)&lt;=DATEVALUE(C349),I349=0),1,0),0)</x:f>
        <x:v>1</x:v>
      </x:c>
    </x:row>
    <x:row r="350">
      <x:c r="A350" t="str">
        <x:v>SO0000349</x:v>
      </x:c>
      <x:c r="B350" t="str">
        <x:v>2026-06-05</x:v>
      </x:c>
      <x:c r="C350" t="str">
        <x:v>2026-06-15</x:v>
      </x:c>
      <x:c r="D350" t="str">
        <x:v>2026-06-11</x:v>
      </x:c>
      <x:c r="E350" t="str">
        <x:v>Bay of Plenty</x:v>
      </x:c>
      <x:c r="F350" t="str">
        <x:v>Delivered</x:v>
      </x:c>
      <x:c r="G350" t="n">
        <x:v>15</x:v>
      </x:c>
      <x:c r="H350" t="n">
        <x:v>15</x:v>
      </x:c>
      <x:c r="I350" t="n">
        <x:v>0</x:v>
      </x:c>
      <x:c r="J350" t="n">
        <x:v>1612.95</x:v>
      </x:c>
      <x:c r="K350" t="n">
        <x:v>1137.45</x:v>
      </x:c>
      <x:c r="L350" t="n">
        <x:f>IFERROR(DATEVALUE(D350)-DATEVALUE(B350),"")</x:f>
        <x:v>6</x:v>
      </x:c>
      <x:c r="M350" t="n">
        <x:f>IFERROR(IF(AND(DATEVALUE(D350)&lt;=DATEVALUE(C350),I350=0),1,0),0)</x:f>
        <x:v>1</x:v>
      </x:c>
    </x:row>
    <x:row r="351">
      <x:c r="A351" t="str">
        <x:v>SO0000350</x:v>
      </x:c>
      <x:c r="B351" t="str">
        <x:v>2026-01-24</x:v>
      </x:c>
      <x:c r="C351" t="str">
        <x:v>2026-01-31</x:v>
      </x:c>
      <x:c r="D351"/>
      <x:c r="E351" t="str">
        <x:v>Canterbury</x:v>
      </x:c>
      <x:c r="F351" t="str">
        <x:v>Open</x:v>
      </x:c>
      <x:c r="G351" t="n">
        <x:v>20</x:v>
      </x:c>
      <x:c r="H351" t="n">
        <x:v>0</x:v>
      </x:c>
      <x:c r="I351" t="n">
        <x:v>20</x:v>
      </x:c>
      <x:c r="J351" t="str">
        <x:v>0.0</x:v>
      </x:c>
      <x:c r="K351" t="str">
        <x:v>0.0</x:v>
      </x:c>
      <x:c r="L351" t="str">
        <x:f>IFERROR(DATEVALUE(D351)-DATEVALUE(B351),"")</x:f>
      </x:c>
      <x:c r="M351" t="n">
        <x:f>IFERROR(IF(AND(DATEVALUE(D351)&lt;=DATEVALUE(C351),I351=0),1,0),0)</x:f>
        <x:v>0</x:v>
      </x:c>
    </x:row>
    <x:row r="352">
      <x:c r="A352" t="str">
        <x:v>SO0000351</x:v>
      </x:c>
      <x:c r="B352" t="str">
        <x:v>2026-04-21</x:v>
      </x:c>
      <x:c r="C352" t="str">
        <x:v>2026-04-27</x:v>
      </x:c>
      <x:c r="D352" t="str">
        <x:v>2026-04-26</x:v>
      </x:c>
      <x:c r="E352" t="str">
        <x:v>Canterbury</x:v>
      </x:c>
      <x:c r="F352" t="str">
        <x:v>Delivered</x:v>
      </x:c>
      <x:c r="G352" t="n">
        <x:v>28</x:v>
      </x:c>
      <x:c r="H352" t="n">
        <x:v>28</x:v>
      </x:c>
      <x:c r="I352" t="n">
        <x:v>0</x:v>
      </x:c>
      <x:c r="J352" t="n">
        <x:v>4538.96</x:v>
      </x:c>
      <x:c r="K352" t="n">
        <x:v>3167.52</x:v>
      </x:c>
      <x:c r="L352" t="n">
        <x:f>IFERROR(DATEVALUE(D352)-DATEVALUE(B352),"")</x:f>
        <x:v>5</x:v>
      </x:c>
      <x:c r="M352" t="n">
        <x:f>IFERROR(IF(AND(DATEVALUE(D352)&lt;=DATEVALUE(C352),I352=0),1,0),0)</x:f>
        <x:v>1</x:v>
      </x:c>
    </x:row>
    <x:row r="353">
      <x:c r="A353" t="str">
        <x:v>SO0000352</x:v>
      </x:c>
      <x:c r="B353" t="str">
        <x:v>2026-03-31</x:v>
      </x:c>
      <x:c r="C353" t="str">
        <x:v>2026-04-09</x:v>
      </x:c>
      <x:c r="D353" t="str">
        <x:v>2026-04-06</x:v>
      </x:c>
      <x:c r="E353" t="str">
        <x:v>Wellington</x:v>
      </x:c>
      <x:c r="F353" t="str">
        <x:v>Delivered</x:v>
      </x:c>
      <x:c r="G353" t="n">
        <x:v>78</x:v>
      </x:c>
      <x:c r="H353" t="n">
        <x:v>78</x:v>
      </x:c>
      <x:c r="I353" t="n">
        <x:v>0</x:v>
      </x:c>
      <x:c r="J353" t="n">
        <x:v>5294.82</x:v>
      </x:c>
      <x:c r="K353" t="n">
        <x:v>3798.58</x:v>
      </x:c>
      <x:c r="L353" t="n">
        <x:f>IFERROR(DATEVALUE(D353)-DATEVALUE(B353),"")</x:f>
        <x:v>6</x:v>
      </x:c>
      <x:c r="M353" t="n">
        <x:f>IFERROR(IF(AND(DATEVALUE(D353)&lt;=DATEVALUE(C353),I353=0),1,0),0)</x:f>
        <x:v>1</x:v>
      </x:c>
    </x:row>
    <x:row r="354">
      <x:c r="A354" t="str">
        <x:v>SO0000353</x:v>
      </x:c>
      <x:c r="B354" t="str">
        <x:v>2025-09-15</x:v>
      </x:c>
      <x:c r="C354" t="str">
        <x:v>2025-09-25</x:v>
      </x:c>
      <x:c r="D354" t="str">
        <x:v>2025-09-20</x:v>
      </x:c>
      <x:c r="E354" t="str">
        <x:v>Bay of Plenty</x:v>
      </x:c>
      <x:c r="F354" t="str">
        <x:v>Delivered</x:v>
      </x:c>
      <x:c r="G354" t="n">
        <x:v>18</x:v>
      </x:c>
      <x:c r="H354" t="n">
        <x:v>18</x:v>
      </x:c>
      <x:c r="I354" t="n">
        <x:v>0</x:v>
      </x:c>
      <x:c r="J354" t="n">
        <x:v>1015</x:v>
      </x:c>
      <x:c r="K354" t="n">
        <x:v>673.58</x:v>
      </x:c>
      <x:c r="L354" t="n">
        <x:f>IFERROR(DATEVALUE(D354)-DATEVALUE(B354),"")</x:f>
        <x:v>5</x:v>
      </x:c>
      <x:c r="M354" t="n">
        <x:f>IFERROR(IF(AND(DATEVALUE(D354)&lt;=DATEVALUE(C354),I354=0),1,0),0)</x:f>
        <x:v>1</x:v>
      </x:c>
    </x:row>
    <x:row r="355">
      <x:c r="A355" t="str">
        <x:v>SO0000354</x:v>
      </x:c>
      <x:c r="B355" t="str">
        <x:v>2025-09-21</x:v>
      </x:c>
      <x:c r="C355" t="str">
        <x:v>2025-10-02</x:v>
      </x:c>
      <x:c r="D355" t="str">
        <x:v>2025-09-27</x:v>
      </x:c>
      <x:c r="E355" t="str">
        <x:v>Auckland</x:v>
      </x:c>
      <x:c r="F355" t="str">
        <x:v>Delivered</x:v>
      </x:c>
      <x:c r="G355" t="n">
        <x:v>15</x:v>
      </x:c>
      <x:c r="H355" t="n">
        <x:v>15</x:v>
      </x:c>
      <x:c r="I355" t="n">
        <x:v>0</x:v>
      </x:c>
      <x:c r="J355" t="n">
        <x:v>1694.85</x:v>
      </x:c>
      <x:c r="K355" t="n">
        <x:v>1134.75</x:v>
      </x:c>
      <x:c r="L355" t="n">
        <x:f>IFERROR(DATEVALUE(D355)-DATEVALUE(B355),"")</x:f>
        <x:v>6</x:v>
      </x:c>
      <x:c r="M355" t="n">
        <x:f>IFERROR(IF(AND(DATEVALUE(D355)&lt;=DATEVALUE(C355),I355=0),1,0),0)</x:f>
        <x:v>1</x:v>
      </x:c>
    </x:row>
    <x:row r="356">
      <x:c r="A356" t="str">
        <x:v>SO0000355</x:v>
      </x:c>
      <x:c r="B356" t="str">
        <x:v>2025-10-11</x:v>
      </x:c>
      <x:c r="C356" t="str">
        <x:v>2025-10-17</x:v>
      </x:c>
      <x:c r="D356" t="str">
        <x:v>2025-10-16</x:v>
      </x:c>
      <x:c r="E356" t="str">
        <x:v>Waikato</x:v>
      </x:c>
      <x:c r="F356" t="str">
        <x:v>Partially Delivered</x:v>
      </x:c>
      <x:c r="G356" t="n">
        <x:v>18</x:v>
      </x:c>
      <x:c r="H356" t="n">
        <x:v>3</x:v>
      </x:c>
      <x:c r="I356" t="n">
        <x:v>15</x:v>
      </x:c>
      <x:c r="J356" t="n">
        <x:v>547.32</x:v>
      </x:c>
      <x:c r="K356" t="n">
        <x:v>400.59</x:v>
      </x:c>
      <x:c r="L356" t="n">
        <x:f>IFERROR(DATEVALUE(D356)-DATEVALUE(B356),"")</x:f>
        <x:v>5</x:v>
      </x:c>
      <x:c r="M356" t="n">
        <x:f>IFERROR(IF(AND(DATEVALUE(D356)&lt;=DATEVALUE(C356),I356=0),1,0),0)</x:f>
        <x:v>0</x:v>
      </x:c>
    </x:row>
    <x:row r="357">
      <x:c r="A357" t="str">
        <x:v>SO0000356</x:v>
      </x:c>
      <x:c r="B357" t="str">
        <x:v>2026-01-21</x:v>
      </x:c>
      <x:c r="C357" t="str">
        <x:v>2026-01-31</x:v>
      </x:c>
      <x:c r="D357" t="str">
        <x:v>2026-01-24</x:v>
      </x:c>
      <x:c r="E357" t="str">
        <x:v>Canterbury</x:v>
      </x:c>
      <x:c r="F357" t="str">
        <x:v>Partially Delivered</x:v>
      </x:c>
      <x:c r="G357" t="n">
        <x:v>35</x:v>
      </x:c>
      <x:c r="H357" t="n">
        <x:v>15</x:v>
      </x:c>
      <x:c r="I357" t="n">
        <x:v>20</x:v>
      </x:c>
      <x:c r="J357" t="n">
        <x:v>2395.95</x:v>
      </x:c>
      <x:c r="K357" t="n">
        <x:v>1677.75</x:v>
      </x:c>
      <x:c r="L357" t="n">
        <x:f>IFERROR(DATEVALUE(D357)-DATEVALUE(B357),"")</x:f>
        <x:v>3</x:v>
      </x:c>
      <x:c r="M357" t="n">
        <x:f>IFERROR(IF(AND(DATEVALUE(D357)&lt;=DATEVALUE(C357),I357=0),1,0),0)</x:f>
        <x:v>0</x:v>
      </x:c>
    </x:row>
    <x:row r="358">
      <x:c r="A358" t="str">
        <x:v>SO0000357</x:v>
      </x:c>
      <x:c r="B358" t="str">
        <x:v>2025-10-11</x:v>
      </x:c>
      <x:c r="C358" t="str">
        <x:v>2025-10-19</x:v>
      </x:c>
      <x:c r="D358" t="str">
        <x:v>2025-10-16</x:v>
      </x:c>
      <x:c r="E358" t="str">
        <x:v>Auckland</x:v>
      </x:c>
      <x:c r="F358" t="str">
        <x:v>Delivered</x:v>
      </x:c>
      <x:c r="G358" t="n">
        <x:v>66</x:v>
      </x:c>
      <x:c r="H358" t="n">
        <x:v>66</x:v>
      </x:c>
      <x:c r="I358" t="n">
        <x:v>0</x:v>
      </x:c>
      <x:c r="J358" t="n">
        <x:v>6023.4</x:v>
      </x:c>
      <x:c r="K358" t="n">
        <x:v>4447.98</x:v>
      </x:c>
      <x:c r="L358" t="n">
        <x:f>IFERROR(DATEVALUE(D358)-DATEVALUE(B358),"")</x:f>
        <x:v>5</x:v>
      </x:c>
      <x:c r="M358" t="n">
        <x:f>IFERROR(IF(AND(DATEVALUE(D358)&lt;=DATEVALUE(C358),I358=0),1,0),0)</x:f>
        <x:v>1</x:v>
      </x:c>
    </x:row>
    <x:row r="359">
      <x:c r="A359" t="str">
        <x:v>SO0000358</x:v>
      </x:c>
      <x:c r="B359" t="str">
        <x:v>2026-08-14</x:v>
      </x:c>
      <x:c r="C359" t="str">
        <x:v>2026-08-21</x:v>
      </x:c>
      <x:c r="D359" t="str">
        <x:v>2026-08-19</x:v>
      </x:c>
      <x:c r="E359" t="str">
        <x:v>Canterbury</x:v>
      </x:c>
      <x:c r="F359" t="str">
        <x:v>Delivered</x:v>
      </x:c>
      <x:c r="G359" t="n">
        <x:v>16</x:v>
      </x:c>
      <x:c r="H359" t="n">
        <x:v>16</x:v>
      </x:c>
      <x:c r="I359" t="n">
        <x:v>0</x:v>
      </x:c>
      <x:c r="J359" t="n">
        <x:v>2083.43</x:v>
      </x:c>
      <x:c r="K359" t="n">
        <x:v>1572.02</x:v>
      </x:c>
      <x:c r="L359" t="n">
        <x:f>IFERROR(DATEVALUE(D359)-DATEVALUE(B359),"")</x:f>
        <x:v>5</x:v>
      </x:c>
      <x:c r="M359" t="n">
        <x:f>IFERROR(IF(AND(DATEVALUE(D359)&lt;=DATEVALUE(C359),I359=0),1,0),0)</x:f>
        <x:v>1</x:v>
      </x:c>
    </x:row>
    <x:row r="360">
      <x:c r="A360" t="str">
        <x:v>SO0000359</x:v>
      </x:c>
      <x:c r="B360" t="str">
        <x:v>2025-11-07</x:v>
      </x:c>
      <x:c r="C360" t="str">
        <x:v>2025-11-18</x:v>
      </x:c>
      <x:c r="D360" t="str">
        <x:v>2025-11-12</x:v>
      </x:c>
      <x:c r="E360" t="str">
        <x:v>Auckland</x:v>
      </x:c>
      <x:c r="F360" t="str">
        <x:v>Delivered</x:v>
      </x:c>
      <x:c r="G360" t="n">
        <x:v>55</x:v>
      </x:c>
      <x:c r="H360" t="n">
        <x:v>55</x:v>
      </x:c>
      <x:c r="I360" t="n">
        <x:v>0</x:v>
      </x:c>
      <x:c r="J360" t="n">
        <x:v>3612.55</x:v>
      </x:c>
      <x:c r="K360" t="n">
        <x:v>2371.65</x:v>
      </x:c>
      <x:c r="L360" t="n">
        <x:f>IFERROR(DATEVALUE(D360)-DATEVALUE(B360),"")</x:f>
        <x:v>5</x:v>
      </x:c>
      <x:c r="M360" t="n">
        <x:f>IFERROR(IF(AND(DATEVALUE(D360)&lt;=DATEVALUE(C360),I360=0),1,0),0)</x:f>
        <x:v>1</x:v>
      </x:c>
    </x:row>
    <x:row r="361">
      <x:c r="A361" t="str">
        <x:v>SO0000360</x:v>
      </x:c>
      <x:c r="B361" t="str">
        <x:v>2024-11-13</x:v>
      </x:c>
      <x:c r="C361" t="str">
        <x:v>2024-11-19</x:v>
      </x:c>
      <x:c r="D361" t="str">
        <x:v>2024-11-19</x:v>
      </x:c>
      <x:c r="E361" t="str">
        <x:v>Auckland</x:v>
      </x:c>
      <x:c r="F361" t="str">
        <x:v>Delivered</x:v>
      </x:c>
      <x:c r="G361" t="n">
        <x:v>8</x:v>
      </x:c>
      <x:c r="H361" t="n">
        <x:v>8</x:v>
      </x:c>
      <x:c r="I361" t="n">
        <x:v>0</x:v>
      </x:c>
      <x:c r="J361" t="n">
        <x:v>1265.68</x:v>
      </x:c>
      <x:c r="K361" t="n">
        <x:v>849.28</x:v>
      </x:c>
      <x:c r="L361" t="n">
        <x:f>IFERROR(DATEVALUE(D361)-DATEVALUE(B361),"")</x:f>
        <x:v>6</x:v>
      </x:c>
      <x:c r="M361" t="n">
        <x:f>IFERROR(IF(AND(DATEVALUE(D361)&lt;=DATEVALUE(C361),I361=0),1,0),0)</x:f>
        <x:v>1</x:v>
      </x:c>
    </x:row>
    <x:row r="362">
      <x:c r="A362" t="str">
        <x:v>SO0000361</x:v>
      </x:c>
      <x:c r="B362" t="str">
        <x:v>2026-08-24</x:v>
      </x:c>
      <x:c r="C362" t="str">
        <x:v>2026-08-29</x:v>
      </x:c>
      <x:c r="D362" t="str">
        <x:v>2026-08-27</x:v>
      </x:c>
      <x:c r="E362" t="str">
        <x:v>Auckland</x:v>
      </x:c>
      <x:c r="F362" t="str">
        <x:v>Delivered</x:v>
      </x:c>
      <x:c r="G362" t="n">
        <x:v>30</x:v>
      </x:c>
      <x:c r="H362" t="n">
        <x:v>30</x:v>
      </x:c>
      <x:c r="I362" t="n">
        <x:v>0</x:v>
      </x:c>
      <x:c r="J362" t="n">
        <x:v>4089.3</x:v>
      </x:c>
      <x:c r="K362" t="n">
        <x:v>3231</x:v>
      </x:c>
      <x:c r="L362" t="n">
        <x:f>IFERROR(DATEVALUE(D362)-DATEVALUE(B362),"")</x:f>
        <x:v>3</x:v>
      </x:c>
      <x:c r="M362" t="n">
        <x:f>IFERROR(IF(AND(DATEVALUE(D362)&lt;=DATEVALUE(C362),I362=0),1,0),0)</x:f>
        <x:v>1</x:v>
      </x:c>
    </x:row>
    <x:row r="363">
      <x:c r="A363" t="str">
        <x:v>SO0000362</x:v>
      </x:c>
      <x:c r="B363" t="str">
        <x:v>2025-11-27</x:v>
      </x:c>
      <x:c r="C363" t="str">
        <x:v>2025-12-03</x:v>
      </x:c>
      <x:c r="D363" t="str">
        <x:v>2025-12-02</x:v>
      </x:c>
      <x:c r="E363" t="str">
        <x:v>Auckland</x:v>
      </x:c>
      <x:c r="F363" t="str">
        <x:v>Delivered</x:v>
      </x:c>
      <x:c r="G363" t="n">
        <x:v>10</x:v>
      </x:c>
      <x:c r="H363" t="n">
        <x:v>10</x:v>
      </x:c>
      <x:c r="I363" t="n">
        <x:v>0</x:v>
      </x:c>
      <x:c r="J363" t="n">
        <x:v>726.7</x:v>
      </x:c>
      <x:c r="K363" t="n">
        <x:v>581.5</x:v>
      </x:c>
      <x:c r="L363" t="n">
        <x:f>IFERROR(DATEVALUE(D363)-DATEVALUE(B363),"")</x:f>
        <x:v>5</x:v>
      </x:c>
      <x:c r="M363" t="n">
        <x:f>IFERROR(IF(AND(DATEVALUE(D363)&lt;=DATEVALUE(C363),I363=0),1,0),0)</x:f>
        <x:v>1</x:v>
      </x:c>
    </x:row>
    <x:row r="364">
      <x:c r="A364" t="str">
        <x:v>SO0000363</x:v>
      </x:c>
      <x:c r="B364" t="str">
        <x:v>2025-08-10</x:v>
      </x:c>
      <x:c r="C364" t="str">
        <x:v>2025-08-15</x:v>
      </x:c>
      <x:c r="D364" t="str">
        <x:v>2025-08-13</x:v>
      </x:c>
      <x:c r="E364" t="str">
        <x:v>Wellington</x:v>
      </x:c>
      <x:c r="F364" t="str">
        <x:v>Partially Delivered</x:v>
      </x:c>
      <x:c r="G364" t="n">
        <x:v>60</x:v>
      </x:c>
      <x:c r="H364" t="n">
        <x:v>55</x:v>
      </x:c>
      <x:c r="I364" t="n">
        <x:v>5</x:v>
      </x:c>
      <x:c r="J364" t="n">
        <x:v>5751.15</x:v>
      </x:c>
      <x:c r="K364" t="n">
        <x:v>4530.95</x:v>
      </x:c>
      <x:c r="L364" t="n">
        <x:f>IFERROR(DATEVALUE(D364)-DATEVALUE(B364),"")</x:f>
        <x:v>3</x:v>
      </x:c>
      <x:c r="M364" t="n">
        <x:f>IFERROR(IF(AND(DATEVALUE(D364)&lt;=DATEVALUE(C364),I364=0),1,0),0)</x:f>
        <x:v>0</x:v>
      </x:c>
    </x:row>
    <x:row r="365">
      <x:c r="A365" t="str">
        <x:v>SO0000364</x:v>
      </x:c>
      <x:c r="B365" t="str">
        <x:v>2026-02-04</x:v>
      </x:c>
      <x:c r="C365" t="str">
        <x:v>2026-02-10</x:v>
      </x:c>
      <x:c r="D365" t="str">
        <x:v>2026-02-09</x:v>
      </x:c>
      <x:c r="E365" t="str">
        <x:v>Auckland</x:v>
      </x:c>
      <x:c r="F365" t="str">
        <x:v>Partially Delivered</x:v>
      </x:c>
      <x:c r="G365" t="n">
        <x:v>30</x:v>
      </x:c>
      <x:c r="H365" t="n">
        <x:v>15</x:v>
      </x:c>
      <x:c r="I365" t="n">
        <x:v>15</x:v>
      </x:c>
      <x:c r="J365" t="n">
        <x:v>1618.8</x:v>
      </x:c>
      <x:c r="K365" t="n">
        <x:v>1097.55</x:v>
      </x:c>
      <x:c r="L365" t="n">
        <x:f>IFERROR(DATEVALUE(D365)-DATEVALUE(B365),"")</x:f>
        <x:v>5</x:v>
      </x:c>
      <x:c r="M365" t="n">
        <x:f>IFERROR(IF(AND(DATEVALUE(D365)&lt;=DATEVALUE(C365),I365=0),1,0),0)</x:f>
        <x:v>0</x:v>
      </x:c>
    </x:row>
    <x:row r="366">
      <x:c r="A366" t="str">
        <x:v>SO0000365</x:v>
      </x:c>
      <x:c r="B366" t="str">
        <x:v>2026-02-23</x:v>
      </x:c>
      <x:c r="C366" t="str">
        <x:v>2026-03-02</x:v>
      </x:c>
      <x:c r="D366" t="str">
        <x:v>2026-03-03</x:v>
      </x:c>
      <x:c r="E366" t="str">
        <x:v>Canterbury</x:v>
      </x:c>
      <x:c r="F366" t="str">
        <x:v>Delivered</x:v>
      </x:c>
      <x:c r="G366" t="n">
        <x:v>16</x:v>
      </x:c>
      <x:c r="H366" t="n">
        <x:v>16</x:v>
      </x:c>
      <x:c r="I366" t="n">
        <x:v>0</x:v>
      </x:c>
      <x:c r="J366" t="n">
        <x:v>1615.12</x:v>
      </x:c>
      <x:c r="K366" t="n">
        <x:v>1155.44</x:v>
      </x:c>
      <x:c r="L366" t="n">
        <x:f>IFERROR(DATEVALUE(D366)-DATEVALUE(B366),"")</x:f>
        <x:v>8</x:v>
      </x:c>
      <x:c r="M366" t="n">
        <x:f>IFERROR(IF(AND(DATEVALUE(D366)&lt;=DATEVALUE(C366),I366=0),1,0),0)</x:f>
        <x:v>0</x:v>
      </x:c>
    </x:row>
    <x:row r="367">
      <x:c r="A367" t="str">
        <x:v>SO0000366</x:v>
      </x:c>
      <x:c r="B367" t="str">
        <x:v>2024-10-02</x:v>
      </x:c>
      <x:c r="C367" t="str">
        <x:v>2024-10-10</x:v>
      </x:c>
      <x:c r="D367" t="str">
        <x:v>2024-10-10</x:v>
      </x:c>
      <x:c r="E367" t="str">
        <x:v>Canterbury</x:v>
      </x:c>
      <x:c r="F367" t="str">
        <x:v>Delivered</x:v>
      </x:c>
      <x:c r="G367" t="n">
        <x:v>60</x:v>
      </x:c>
      <x:c r="H367" t="n">
        <x:v>60</x:v>
      </x:c>
      <x:c r="I367" t="n">
        <x:v>0</x:v>
      </x:c>
      <x:c r="J367" t="n">
        <x:v>7069.05</x:v>
      </x:c>
      <x:c r="K367" t="n">
        <x:v>5935.65</x:v>
      </x:c>
      <x:c r="L367" t="n">
        <x:f>IFERROR(DATEVALUE(D367)-DATEVALUE(B367),"")</x:f>
        <x:v>8</x:v>
      </x:c>
      <x:c r="M367" t="n">
        <x:f>IFERROR(IF(AND(DATEVALUE(D367)&lt;=DATEVALUE(C367),I367=0),1,0),0)</x:f>
        <x:v>1</x:v>
      </x:c>
    </x:row>
    <x:row r="368">
      <x:c r="A368" t="str">
        <x:v>SO0000367</x:v>
      </x:c>
      <x:c r="B368" t="str">
        <x:v>2026-09-12</x:v>
      </x:c>
      <x:c r="C368" t="str">
        <x:v>2026-09-21</x:v>
      </x:c>
      <x:c r="D368" t="str">
        <x:v>2026-09-17</x:v>
      </x:c>
      <x:c r="E368" t="str">
        <x:v>Bay of Plenty</x:v>
      </x:c>
      <x:c r="F368" t="str">
        <x:v>Delivered</x:v>
      </x:c>
      <x:c r="G368" t="n">
        <x:v>28</x:v>
      </x:c>
      <x:c r="H368" t="n">
        <x:v>28</x:v>
      </x:c>
      <x:c r="I368" t="n">
        <x:v>0</x:v>
      </x:c>
      <x:c r="J368" t="n">
        <x:v>4969.46</x:v>
      </x:c>
      <x:c r="K368" t="n">
        <x:v>3615.51</x:v>
      </x:c>
      <x:c r="L368" t="n">
        <x:f>IFERROR(DATEVALUE(D368)-DATEVALUE(B368),"")</x:f>
        <x:v>5</x:v>
      </x:c>
      <x:c r="M368" t="n">
        <x:f>IFERROR(IF(AND(DATEVALUE(D368)&lt;=DATEVALUE(C368),I368=0),1,0),0)</x:f>
        <x:v>1</x:v>
      </x:c>
    </x:row>
    <x:row r="369">
      <x:c r="A369" t="str">
        <x:v>SO0000368</x:v>
      </x:c>
      <x:c r="B369" t="str">
        <x:v>2025-05-21</x:v>
      </x:c>
      <x:c r="C369" t="str">
        <x:v>2025-05-28</x:v>
      </x:c>
      <x:c r="D369" t="str">
        <x:v>2025-05-29</x:v>
      </x:c>
      <x:c r="E369" t="str">
        <x:v>Canterbury</x:v>
      </x:c>
      <x:c r="F369" t="str">
        <x:v>Partially Delivered</x:v>
      </x:c>
      <x:c r="G369" t="n">
        <x:v>45</x:v>
      </x:c>
      <x:c r="H369" t="n">
        <x:v>15</x:v>
      </x:c>
      <x:c r="I369" t="n">
        <x:v>30</x:v>
      </x:c>
      <x:c r="J369" t="n">
        <x:v>1160.4</x:v>
      </x:c>
      <x:c r="K369" t="n">
        <x:v>851.85</x:v>
      </x:c>
      <x:c r="L369" t="n">
        <x:f>IFERROR(DATEVALUE(D369)-DATEVALUE(B369),"")</x:f>
        <x:v>8</x:v>
      </x:c>
      <x:c r="M369" t="n">
        <x:f>IFERROR(IF(AND(DATEVALUE(D369)&lt;=DATEVALUE(C369),I369=0),1,0),0)</x:f>
        <x:v>0</x:v>
      </x:c>
    </x:row>
    <x:row r="370">
      <x:c r="A370" t="str">
        <x:v>SO0000369</x:v>
      </x:c>
      <x:c r="B370" t="str">
        <x:v>2024-11-10</x:v>
      </x:c>
      <x:c r="C370" t="str">
        <x:v>2024-11-21</x:v>
      </x:c>
      <x:c r="D370" t="str">
        <x:v>2024-11-15</x:v>
      </x:c>
      <x:c r="E370" t="str">
        <x:v>Waikato</x:v>
      </x:c>
      <x:c r="F370" t="str">
        <x:v>Delivered</x:v>
      </x:c>
      <x:c r="G370" t="n">
        <x:v>30</x:v>
      </x:c>
      <x:c r="H370" t="n">
        <x:v>30</x:v>
      </x:c>
      <x:c r="I370" t="n">
        <x:v>0</x:v>
      </x:c>
      <x:c r="J370" t="n">
        <x:v>940.5</x:v>
      </x:c>
      <x:c r="K370" t="n">
        <x:v>734.7</x:v>
      </x:c>
      <x:c r="L370" t="n">
        <x:f>IFERROR(DATEVALUE(D370)-DATEVALUE(B370),"")</x:f>
        <x:v>5</x:v>
      </x:c>
      <x:c r="M370" t="n">
        <x:f>IFERROR(IF(AND(DATEVALUE(D370)&lt;=DATEVALUE(C370),I370=0),1,0),0)</x:f>
        <x:v>1</x:v>
      </x:c>
    </x:row>
    <x:row r="371">
      <x:c r="A371" t="str">
        <x:v>SO0000370</x:v>
      </x:c>
      <x:c r="B371" t="str">
        <x:v>2026-02-02</x:v>
      </x:c>
      <x:c r="C371" t="str">
        <x:v>2026-02-07</x:v>
      </x:c>
      <x:c r="D371" t="str">
        <x:v>2026-02-05</x:v>
      </x:c>
      <x:c r="E371" t="str">
        <x:v>Waikato</x:v>
      </x:c>
      <x:c r="F371" t="str">
        <x:v>Delivered</x:v>
      </x:c>
      <x:c r="G371" t="n">
        <x:v>10</x:v>
      </x:c>
      <x:c r="H371" t="n">
        <x:v>10</x:v>
      </x:c>
      <x:c r="I371" t="n">
        <x:v>0</x:v>
      </x:c>
      <x:c r="J371" t="n">
        <x:v>196</x:v>
      </x:c>
      <x:c r="K371" t="n">
        <x:v>157.2</x:v>
      </x:c>
      <x:c r="L371" t="n">
        <x:f>IFERROR(DATEVALUE(D371)-DATEVALUE(B371),"")</x:f>
        <x:v>3</x:v>
      </x:c>
      <x:c r="M371" t="n">
        <x:f>IFERROR(IF(AND(DATEVALUE(D371)&lt;=DATEVALUE(C371),I371=0),1,0),0)</x:f>
        <x:v>1</x:v>
      </x:c>
    </x:row>
    <x:row r="372">
      <x:c r="A372" t="str">
        <x:v>SO0000371</x:v>
      </x:c>
      <x:c r="B372" t="str">
        <x:v>2026-02-27</x:v>
      </x:c>
      <x:c r="C372" t="str">
        <x:v>2026-03-09</x:v>
      </x:c>
      <x:c r="D372" t="str">
        <x:v>2026-03-03</x:v>
      </x:c>
      <x:c r="E372" t="str">
        <x:v>Wellington</x:v>
      </x:c>
      <x:c r="F372" t="str">
        <x:v>Delivered</x:v>
      </x:c>
      <x:c r="G372" t="n">
        <x:v>91</x:v>
      </x:c>
      <x:c r="H372" t="n">
        <x:v>91</x:v>
      </x:c>
      <x:c r="I372" t="n">
        <x:v>0</x:v>
      </x:c>
      <x:c r="J372" t="n">
        <x:v>11430.71</x:v>
      </x:c>
      <x:c r="K372" t="n">
        <x:v>9117.57</x:v>
      </x:c>
      <x:c r="L372" t="n">
        <x:f>IFERROR(DATEVALUE(D372)-DATEVALUE(B372),"")</x:f>
        <x:v>4</x:v>
      </x:c>
      <x:c r="M372" t="n">
        <x:f>IFERROR(IF(AND(DATEVALUE(D372)&lt;=DATEVALUE(C372),I372=0),1,0),0)</x:f>
        <x:v>1</x:v>
      </x:c>
    </x:row>
    <x:row r="373">
      <x:c r="A373" t="str">
        <x:v>SO0000372</x:v>
      </x:c>
      <x:c r="B373" t="str">
        <x:v>2026-02-03</x:v>
      </x:c>
      <x:c r="C373" t="str">
        <x:v>2026-02-13</x:v>
      </x:c>
      <x:c r="D373" t="str">
        <x:v>2026-02-09</x:v>
      </x:c>
      <x:c r="E373" t="str">
        <x:v>Wellington</x:v>
      </x:c>
      <x:c r="F373" t="str">
        <x:v>Delivered</x:v>
      </x:c>
      <x:c r="G373" t="n">
        <x:v>9</x:v>
      </x:c>
      <x:c r="H373" t="n">
        <x:v>9</x:v>
      </x:c>
      <x:c r="I373" t="n">
        <x:v>0</x:v>
      </x:c>
      <x:c r="J373" t="n">
        <x:v>1066.54</x:v>
      </x:c>
      <x:c r="K373" t="n">
        <x:v>855.36</x:v>
      </x:c>
      <x:c r="L373" t="n">
        <x:f>IFERROR(DATEVALUE(D373)-DATEVALUE(B373),"")</x:f>
        <x:v>6</x:v>
      </x:c>
      <x:c r="M373" t="n">
        <x:f>IFERROR(IF(AND(DATEVALUE(D373)&lt;=DATEVALUE(C373),I373=0),1,0),0)</x:f>
        <x:v>1</x:v>
      </x:c>
    </x:row>
    <x:row r="374">
      <x:c r="A374" t="str">
        <x:v>SO0000373</x:v>
      </x:c>
      <x:c r="B374" t="str">
        <x:v>2024-11-17</x:v>
      </x:c>
      <x:c r="C374" t="str">
        <x:v>2024-11-23</x:v>
      </x:c>
      <x:c r="D374" t="str">
        <x:v>2024-11-22</x:v>
      </x:c>
      <x:c r="E374" t="str">
        <x:v>Wellington</x:v>
      </x:c>
      <x:c r="F374" t="str">
        <x:v>Partially Delivered</x:v>
      </x:c>
      <x:c r="G374" t="n">
        <x:v>51</x:v>
      </x:c>
      <x:c r="H374" t="n">
        <x:v>11</x:v>
      </x:c>
      <x:c r="I374" t="n">
        <x:v>40</x:v>
      </x:c>
      <x:c r="J374" t="n">
        <x:v>435.81</x:v>
      </x:c>
      <x:c r="K374" t="n">
        <x:v>309.96</x:v>
      </x:c>
      <x:c r="L374" t="n">
        <x:f>IFERROR(DATEVALUE(D374)-DATEVALUE(B374),"")</x:f>
        <x:v>5</x:v>
      </x:c>
      <x:c r="M374" t="n">
        <x:f>IFERROR(IF(AND(DATEVALUE(D374)&lt;=DATEVALUE(C374),I374=0),1,0),0)</x:f>
        <x:v>0</x:v>
      </x:c>
    </x:row>
    <x:row r="375">
      <x:c r="A375" t="str">
        <x:v>SO0000374</x:v>
      </x:c>
      <x:c r="B375" t="str">
        <x:v>2025-07-19</x:v>
      </x:c>
      <x:c r="C375" t="str">
        <x:v>2025-07-24</x:v>
      </x:c>
      <x:c r="D375" t="str">
        <x:v>2025-07-22</x:v>
      </x:c>
      <x:c r="E375" t="str">
        <x:v>Wellington</x:v>
      </x:c>
      <x:c r="F375" t="str">
        <x:v>Delivered</x:v>
      </x:c>
      <x:c r="G375" t="n">
        <x:v>18</x:v>
      </x:c>
      <x:c r="H375" t="n">
        <x:v>18</x:v>
      </x:c>
      <x:c r="I375" t="n">
        <x:v>0</x:v>
      </x:c>
      <x:c r="J375" t="n">
        <x:v>2092.83</x:v>
      </x:c>
      <x:c r="K375" t="n">
        <x:v>1654.89</x:v>
      </x:c>
      <x:c r="L375" t="n">
        <x:f>IFERROR(DATEVALUE(D375)-DATEVALUE(B375),"")</x:f>
        <x:v>3</x:v>
      </x:c>
      <x:c r="M375" t="n">
        <x:f>IFERROR(IF(AND(DATEVALUE(D375)&lt;=DATEVALUE(C375),I375=0),1,0),0)</x:f>
        <x:v>1</x:v>
      </x:c>
    </x:row>
    <x:row r="376">
      <x:c r="A376" t="str">
        <x:v>SO0000375</x:v>
      </x:c>
      <x:c r="B376" t="str">
        <x:v>2025-11-12</x:v>
      </x:c>
      <x:c r="C376" t="str">
        <x:v>2025-11-22</x:v>
      </x:c>
      <x:c r="D376" t="str">
        <x:v>2025-11-18</x:v>
      </x:c>
      <x:c r="E376" t="str">
        <x:v>Wellington</x:v>
      </x:c>
      <x:c r="F376" t="str">
        <x:v>Partially Delivered</x:v>
      </x:c>
      <x:c r="G376" t="n">
        <x:v>11</x:v>
      </x:c>
      <x:c r="H376" t="n">
        <x:v>1</x:v>
      </x:c>
      <x:c r="I376" t="n">
        <x:v>10</x:v>
      </x:c>
      <x:c r="J376" t="n">
        <x:v>96.49</x:v>
      </x:c>
      <x:c r="K376" t="n">
        <x:v>78.47</x:v>
      </x:c>
      <x:c r="L376" t="n">
        <x:f>IFERROR(DATEVALUE(D376)-DATEVALUE(B376),"")</x:f>
        <x:v>6</x:v>
      </x:c>
      <x:c r="M376" t="n">
        <x:f>IFERROR(IF(AND(DATEVALUE(D376)&lt;=DATEVALUE(C376),I376=0),1,0),0)</x:f>
        <x:v>0</x:v>
      </x:c>
    </x:row>
    <x:row r="377">
      <x:c r="A377" t="str">
        <x:v>SO0000376</x:v>
      </x:c>
      <x:c r="B377" t="str">
        <x:v>2026-01-23</x:v>
      </x:c>
      <x:c r="C377" t="str">
        <x:v>2026-01-28</x:v>
      </x:c>
      <x:c r="D377" t="str">
        <x:v>2026-01-29</x:v>
      </x:c>
      <x:c r="E377" t="str">
        <x:v>Bay of Plenty</x:v>
      </x:c>
      <x:c r="F377" t="str">
        <x:v>Partially Delivered</x:v>
      </x:c>
      <x:c r="G377" t="n">
        <x:v>15</x:v>
      </x:c>
      <x:c r="H377" t="n">
        <x:v>5</x:v>
      </x:c>
      <x:c r="I377" t="n">
        <x:v>10</x:v>
      </x:c>
      <x:c r="J377" t="n">
        <x:v>392.95</x:v>
      </x:c>
      <x:c r="K377" t="n">
        <x:v>322.4</x:v>
      </x:c>
      <x:c r="L377" t="n">
        <x:f>IFERROR(DATEVALUE(D377)-DATEVALUE(B377),"")</x:f>
        <x:v>6</x:v>
      </x:c>
      <x:c r="M377" t="n">
        <x:f>IFERROR(IF(AND(DATEVALUE(D377)&lt;=DATEVALUE(C377),I377=0),1,0),0)</x:f>
        <x:v>0</x:v>
      </x:c>
    </x:row>
    <x:row r="378">
      <x:c r="A378" t="str">
        <x:v>SO0000377</x:v>
      </x:c>
      <x:c r="B378" t="str">
        <x:v>2025-11-15</x:v>
      </x:c>
      <x:c r="C378" t="str">
        <x:v>2025-11-22</x:v>
      </x:c>
      <x:c r="D378" t="str">
        <x:v>2025-11-24</x:v>
      </x:c>
      <x:c r="E378" t="str">
        <x:v>Wellington</x:v>
      </x:c>
      <x:c r="F378" t="str">
        <x:v>Delivered</x:v>
      </x:c>
      <x:c r="G378" t="n">
        <x:v>8</x:v>
      </x:c>
      <x:c r="H378" t="n">
        <x:v>8</x:v>
      </x:c>
      <x:c r="I378" t="n">
        <x:v>0</x:v>
      </x:c>
      <x:c r="J378" t="n">
        <x:v>1110.48</x:v>
      </x:c>
      <x:c r="K378" t="n">
        <x:v>743.84</x:v>
      </x:c>
      <x:c r="L378" t="n">
        <x:f>IFERROR(DATEVALUE(D378)-DATEVALUE(B378),"")</x:f>
        <x:v>9</x:v>
      </x:c>
      <x:c r="M378" t="n">
        <x:f>IFERROR(IF(AND(DATEVALUE(D378)&lt;=DATEVALUE(C378),I378=0),1,0),0)</x:f>
        <x:v>0</x:v>
      </x:c>
    </x:row>
    <x:row r="379">
      <x:c r="A379" t="str">
        <x:v>SO0000378</x:v>
      </x:c>
      <x:c r="B379" t="str">
        <x:v>2026-05-25</x:v>
      </x:c>
      <x:c r="C379" t="str">
        <x:v>2026-06-04</x:v>
      </x:c>
      <x:c r="D379" t="str">
        <x:v>2026-05-30</x:v>
      </x:c>
      <x:c r="E379" t="str">
        <x:v>Waikato</x:v>
      </x:c>
      <x:c r="F379" t="str">
        <x:v>Partially Delivered</x:v>
      </x:c>
      <x:c r="G379" t="n">
        <x:v>98</x:v>
      </x:c>
      <x:c r="H379" t="n">
        <x:v>45</x:v>
      </x:c>
      <x:c r="I379" t="n">
        <x:v>53</x:v>
      </x:c>
      <x:c r="J379" t="n">
        <x:v>3220.65</x:v>
      </x:c>
      <x:c r="K379" t="n">
        <x:v>2131</x:v>
      </x:c>
      <x:c r="L379" t="n">
        <x:f>IFERROR(DATEVALUE(D379)-DATEVALUE(B379),"")</x:f>
        <x:v>5</x:v>
      </x:c>
      <x:c r="M379" t="n">
        <x:f>IFERROR(IF(AND(DATEVALUE(D379)&lt;=DATEVALUE(C379),I379=0),1,0),0)</x:f>
        <x:v>0</x:v>
      </x:c>
    </x:row>
    <x:row r="380">
      <x:c r="A380" t="str">
        <x:v>SO0000379</x:v>
      </x:c>
      <x:c r="B380" t="str">
        <x:v>2025-08-25</x:v>
      </x:c>
      <x:c r="C380" t="str">
        <x:v>2025-09-03</x:v>
      </x:c>
      <x:c r="D380" t="str">
        <x:v>2025-08-31</x:v>
      </x:c>
      <x:c r="E380" t="str">
        <x:v>Canterbury</x:v>
      </x:c>
      <x:c r="F380" t="str">
        <x:v>Delivered</x:v>
      </x:c>
      <x:c r="G380" t="n">
        <x:v>50</x:v>
      </x:c>
      <x:c r="H380" t="n">
        <x:v>50</x:v>
      </x:c>
      <x:c r="I380" t="n">
        <x:v>0</x:v>
      </x:c>
      <x:c r="J380" t="n">
        <x:v>3489.7</x:v>
      </x:c>
      <x:c r="K380" t="n">
        <x:v>2827.3</x:v>
      </x:c>
      <x:c r="L380" t="n">
        <x:f>IFERROR(DATEVALUE(D380)-DATEVALUE(B380),"")</x:f>
        <x:v>6</x:v>
      </x:c>
      <x:c r="M380" t="n">
        <x:f>IFERROR(IF(AND(DATEVALUE(D380)&lt;=DATEVALUE(C380),I380=0),1,0),0)</x:f>
        <x:v>1</x:v>
      </x:c>
    </x:row>
    <x:row r="381">
      <x:c r="A381" t="str">
        <x:v>SO0000380</x:v>
      </x:c>
      <x:c r="B381" t="str">
        <x:v>2025-02-24</x:v>
      </x:c>
      <x:c r="C381" t="str">
        <x:v>2025-03-02</x:v>
      </x:c>
      <x:c r="D381"/>
      <x:c r="E381" t="str">
        <x:v>Wellington</x:v>
      </x:c>
      <x:c r="F381" t="str">
        <x:v>Open</x:v>
      </x:c>
      <x:c r="G381" t="n">
        <x:v>105</x:v>
      </x:c>
      <x:c r="H381" t="n">
        <x:v>0</x:v>
      </x:c>
      <x:c r="I381" t="n">
        <x:v>105</x:v>
      </x:c>
      <x:c r="J381" t="str">
        <x:v>0.0</x:v>
      </x:c>
      <x:c r="K381" t="str">
        <x:v>0.0</x:v>
      </x:c>
      <x:c r="L381" t="str">
        <x:f>IFERROR(DATEVALUE(D381)-DATEVALUE(B381),"")</x:f>
      </x:c>
      <x:c r="M381" t="n">
        <x:f>IFERROR(IF(AND(DATEVALUE(D381)&lt;=DATEVALUE(C381),I381=0),1,0),0)</x:f>
        <x:v>0</x:v>
      </x:c>
    </x:row>
    <x:row r="382">
      <x:c r="A382" t="str">
        <x:v>SO0000381</x:v>
      </x:c>
      <x:c r="B382" t="str">
        <x:v>2025-08-12</x:v>
      </x:c>
      <x:c r="C382" t="str">
        <x:v>2025-08-23</x:v>
      </x:c>
      <x:c r="D382" t="str">
        <x:v>2025-08-18</x:v>
      </x:c>
      <x:c r="E382" t="str">
        <x:v>Waikato</x:v>
      </x:c>
      <x:c r="F382" t="str">
        <x:v>Partially Delivered</x:v>
      </x:c>
      <x:c r="G382" t="n">
        <x:v>44</x:v>
      </x:c>
      <x:c r="H382" t="n">
        <x:v>10</x:v>
      </x:c>
      <x:c r="I382" t="n">
        <x:v>34</x:v>
      </x:c>
      <x:c r="J382" t="n">
        <x:v>900.1</x:v>
      </x:c>
      <x:c r="K382" t="n">
        <x:v>628.8</x:v>
      </x:c>
      <x:c r="L382" t="n">
        <x:f>IFERROR(DATEVALUE(D382)-DATEVALUE(B382),"")</x:f>
        <x:v>6</x:v>
      </x:c>
      <x:c r="M382" t="n">
        <x:f>IFERROR(IF(AND(DATEVALUE(D382)&lt;=DATEVALUE(C382),I382=0),1,0),0)</x:f>
        <x:v>0</x:v>
      </x:c>
    </x:row>
    <x:row r="383">
      <x:c r="A383" t="str">
        <x:v>SO0000382</x:v>
      </x:c>
      <x:c r="B383" t="str">
        <x:v>2026-06-16</x:v>
      </x:c>
      <x:c r="C383" t="str">
        <x:v>2026-06-22</x:v>
      </x:c>
      <x:c r="D383" t="str">
        <x:v>2026-06-23</x:v>
      </x:c>
      <x:c r="E383" t="str">
        <x:v>Canterbury</x:v>
      </x:c>
      <x:c r="F383" t="str">
        <x:v>Delivered</x:v>
      </x:c>
      <x:c r="G383" t="n">
        <x:v>25</x:v>
      </x:c>
      <x:c r="H383" t="n">
        <x:v>25</x:v>
      </x:c>
      <x:c r="I383" t="n">
        <x:v>0</x:v>
      </x:c>
      <x:c r="J383" t="n">
        <x:v>3804.85</x:v>
      </x:c>
      <x:c r="K383" t="n">
        <x:v>3007.85</x:v>
      </x:c>
      <x:c r="L383" t="n">
        <x:f>IFERROR(DATEVALUE(D383)-DATEVALUE(B383),"")</x:f>
        <x:v>7</x:v>
      </x:c>
      <x:c r="M383" t="n">
        <x:f>IFERROR(IF(AND(DATEVALUE(D383)&lt;=DATEVALUE(C383),I383=0),1,0),0)</x:f>
        <x:v>0</x:v>
      </x:c>
    </x:row>
    <x:row r="384">
      <x:c r="A384" t="str">
        <x:v>SO0000383</x:v>
      </x:c>
      <x:c r="B384" t="str">
        <x:v>2024-11-19</x:v>
      </x:c>
      <x:c r="C384" t="str">
        <x:v>2024-11-26</x:v>
      </x:c>
      <x:c r="D384" t="str">
        <x:v>2024-11-23</x:v>
      </x:c>
      <x:c r="E384" t="str">
        <x:v>Waikato</x:v>
      </x:c>
      <x:c r="F384" t="str">
        <x:v>Delivered</x:v>
      </x:c>
      <x:c r="G384" t="n">
        <x:v>20</x:v>
      </x:c>
      <x:c r="H384" t="n">
        <x:v>20</x:v>
      </x:c>
      <x:c r="I384" t="n">
        <x:v>0</x:v>
      </x:c>
      <x:c r="J384" t="n">
        <x:v>1001.2</x:v>
      </x:c>
      <x:c r="K384" t="n">
        <x:v>716</x:v>
      </x:c>
      <x:c r="L384" t="n">
        <x:f>IFERROR(DATEVALUE(D384)-DATEVALUE(B384),"")</x:f>
        <x:v>4</x:v>
      </x:c>
      <x:c r="M384" t="n">
        <x:f>IFERROR(IF(AND(DATEVALUE(D384)&lt;=DATEVALUE(C384),I384=0),1,0),0)</x:f>
        <x:v>1</x:v>
      </x:c>
    </x:row>
    <x:row r="385">
      <x:c r="A385" t="str">
        <x:v>SO0000384</x:v>
      </x:c>
      <x:c r="B385" t="str">
        <x:v>2026-03-30</x:v>
      </x:c>
      <x:c r="C385" t="str">
        <x:v>2026-04-05</x:v>
      </x:c>
      <x:c r="D385" t="str">
        <x:v>2026-04-04</x:v>
      </x:c>
      <x:c r="E385" t="str">
        <x:v>Waikato</x:v>
      </x:c>
      <x:c r="F385" t="str">
        <x:v>Partially Delivered</x:v>
      </x:c>
      <x:c r="G385" t="n">
        <x:v>31</x:v>
      </x:c>
      <x:c r="H385" t="n">
        <x:v>21</x:v>
      </x:c>
      <x:c r="I385" t="n">
        <x:v>10</x:v>
      </x:c>
      <x:c r="J385" t="n">
        <x:v>2544.77</x:v>
      </x:c>
      <x:c r="K385" t="n">
        <x:v>1987.73</x:v>
      </x:c>
      <x:c r="L385" t="n">
        <x:f>IFERROR(DATEVALUE(D385)-DATEVALUE(B385),"")</x:f>
        <x:v>5</x:v>
      </x:c>
      <x:c r="M385" t="n">
        <x:f>IFERROR(IF(AND(DATEVALUE(D385)&lt;=DATEVALUE(C385),I385=0),1,0),0)</x:f>
        <x:v>0</x:v>
      </x:c>
    </x:row>
    <x:row r="386">
      <x:c r="A386" t="str">
        <x:v>SO0000385</x:v>
      </x:c>
      <x:c r="B386" t="str">
        <x:v>2025-12-25</x:v>
      </x:c>
      <x:c r="C386" t="str">
        <x:v>2026-01-01</x:v>
      </x:c>
      <x:c r="D386" t="str">
        <x:v>2025-12-30</x:v>
      </x:c>
      <x:c r="E386" t="str">
        <x:v>Bay of Plenty</x:v>
      </x:c>
      <x:c r="F386" t="str">
        <x:v>Partially Delivered</x:v>
      </x:c>
      <x:c r="G386" t="n">
        <x:v>16</x:v>
      </x:c>
      <x:c r="H386" t="n">
        <x:v>8</x:v>
      </x:c>
      <x:c r="I386" t="n">
        <x:v>8</x:v>
      </x:c>
      <x:c r="J386" t="n">
        <x:v>1038.72</x:v>
      </x:c>
      <x:c r="K386" t="n">
        <x:v>812.96</x:v>
      </x:c>
      <x:c r="L386" t="n">
        <x:f>IFERROR(DATEVALUE(D386)-DATEVALUE(B386),"")</x:f>
        <x:v>5</x:v>
      </x:c>
      <x:c r="M386" t="n">
        <x:f>IFERROR(IF(AND(DATEVALUE(D386)&lt;=DATEVALUE(C386),I386=0),1,0),0)</x:f>
        <x:v>0</x:v>
      </x:c>
    </x:row>
    <x:row r="387">
      <x:c r="A387" t="str">
        <x:v>SO0000386</x:v>
      </x:c>
      <x:c r="B387" t="str">
        <x:v>2026-02-14</x:v>
      </x:c>
      <x:c r="C387" t="str">
        <x:v>2026-02-19</x:v>
      </x:c>
      <x:c r="D387" t="str">
        <x:v>2026-02-20</x:v>
      </x:c>
      <x:c r="E387" t="str">
        <x:v>Canterbury</x:v>
      </x:c>
      <x:c r="F387" t="str">
        <x:v>Delivered</x:v>
      </x:c>
      <x:c r="G387" t="n">
        <x:v>9</x:v>
      </x:c>
      <x:c r="H387" t="n">
        <x:v>9</x:v>
      </x:c>
      <x:c r="I387" t="n">
        <x:v>0</x:v>
      </x:c>
      <x:c r="J387" t="n">
        <x:v>556.16</x:v>
      </x:c>
      <x:c r="K387" t="n">
        <x:v>467.14</x:v>
      </x:c>
      <x:c r="L387" t="n">
        <x:f>IFERROR(DATEVALUE(D387)-DATEVALUE(B387),"")</x:f>
        <x:v>6</x:v>
      </x:c>
      <x:c r="M387" t="n">
        <x:f>IFERROR(IF(AND(DATEVALUE(D387)&lt;=DATEVALUE(C387),I387=0),1,0),0)</x:f>
        <x:v>0</x:v>
      </x:c>
    </x:row>
    <x:row r="388">
      <x:c r="A388" t="str">
        <x:v>SO0000387</x:v>
      </x:c>
      <x:c r="B388" t="str">
        <x:v>2025-06-26</x:v>
      </x:c>
      <x:c r="C388" t="str">
        <x:v>2025-07-06</x:v>
      </x:c>
      <x:c r="D388" t="str">
        <x:v>2025-06-30</x:v>
      </x:c>
      <x:c r="E388" t="str">
        <x:v>Waikato</x:v>
      </x:c>
      <x:c r="F388" t="str">
        <x:v>Delivered</x:v>
      </x:c>
      <x:c r="G388" t="n">
        <x:v>13</x:v>
      </x:c>
      <x:c r="H388" t="n">
        <x:v>13</x:v>
      </x:c>
      <x:c r="I388" t="n">
        <x:v>0</x:v>
      </x:c>
      <x:c r="J388" t="n">
        <x:v>762.42</x:v>
      </x:c>
      <x:c r="K388" t="n">
        <x:v>547.83</x:v>
      </x:c>
      <x:c r="L388" t="n">
        <x:f>IFERROR(DATEVALUE(D388)-DATEVALUE(B388),"")</x:f>
        <x:v>4</x:v>
      </x:c>
      <x:c r="M388" t="n">
        <x:f>IFERROR(IF(AND(DATEVALUE(D388)&lt;=DATEVALUE(C388),I388=0),1,0),0)</x:f>
        <x:v>1</x:v>
      </x:c>
    </x:row>
    <x:row r="389">
      <x:c r="A389" t="str">
        <x:v>SO0000388</x:v>
      </x:c>
      <x:c r="B389" t="str">
        <x:v>2025-06-08</x:v>
      </x:c>
      <x:c r="C389" t="str">
        <x:v>2025-06-14</x:v>
      </x:c>
      <x:c r="D389" t="str">
        <x:v>2025-06-15</x:v>
      </x:c>
      <x:c r="E389" t="str">
        <x:v>Waikato</x:v>
      </x:c>
      <x:c r="F389" t="str">
        <x:v>Delivered</x:v>
      </x:c>
      <x:c r="G389" t="n">
        <x:v>40</x:v>
      </x:c>
      <x:c r="H389" t="n">
        <x:v>40</x:v>
      </x:c>
      <x:c r="I389" t="n">
        <x:v>0</x:v>
      </x:c>
      <x:c r="J389" t="n">
        <x:v>5700.2</x:v>
      </x:c>
      <x:c r="K389" t="n">
        <x:v>4194.2</x:v>
      </x:c>
      <x:c r="L389" t="n">
        <x:f>IFERROR(DATEVALUE(D389)-DATEVALUE(B389),"")</x:f>
        <x:v>7</x:v>
      </x:c>
      <x:c r="M389" t="n">
        <x:f>IFERROR(IF(AND(DATEVALUE(D389)&lt;=DATEVALUE(C389),I389=0),1,0),0)</x:f>
        <x:v>0</x:v>
      </x:c>
    </x:row>
    <x:row r="390">
      <x:c r="A390" t="str">
        <x:v>SO0000389</x:v>
      </x:c>
      <x:c r="B390" t="str">
        <x:v>2025-12-15</x:v>
      </x:c>
      <x:c r="C390" t="str">
        <x:v>2025-12-22</x:v>
      </x:c>
      <x:c r="D390" t="str">
        <x:v>2025-12-21</x:v>
      </x:c>
      <x:c r="E390" t="str">
        <x:v>Bay of Plenty</x:v>
      </x:c>
      <x:c r="F390" t="str">
        <x:v>Partially Delivered</x:v>
      </x:c>
      <x:c r="G390" t="n">
        <x:v>45</x:v>
      </x:c>
      <x:c r="H390" t="n">
        <x:v>42</x:v>
      </x:c>
      <x:c r="I390" t="n">
        <x:v>3</x:v>
      </x:c>
      <x:c r="J390" t="n">
        <x:v>5525.84</x:v>
      </x:c>
      <x:c r="K390" t="n">
        <x:v>3759.38</x:v>
      </x:c>
      <x:c r="L390" t="n">
        <x:f>IFERROR(DATEVALUE(D390)-DATEVALUE(B390),"")</x:f>
        <x:v>6</x:v>
      </x:c>
      <x:c r="M390" t="n">
        <x:f>IFERROR(IF(AND(DATEVALUE(D390)&lt;=DATEVALUE(C390),I390=0),1,0),0)</x:f>
        <x:v>0</x:v>
      </x:c>
    </x:row>
    <x:row r="391">
      <x:c r="A391" t="str">
        <x:v>SO0000390</x:v>
      </x:c>
      <x:c r="B391" t="str">
        <x:v>2024-10-30</x:v>
      </x:c>
      <x:c r="C391" t="str">
        <x:v>2024-11-07</x:v>
      </x:c>
      <x:c r="D391" t="str">
        <x:v>2024-11-02</x:v>
      </x:c>
      <x:c r="E391" t="str">
        <x:v>Auckland</x:v>
      </x:c>
      <x:c r="F391" t="str">
        <x:v>Delivered</x:v>
      </x:c>
      <x:c r="G391" t="n">
        <x:v>78</x:v>
      </x:c>
      <x:c r="H391" t="n">
        <x:v>78</x:v>
      </x:c>
      <x:c r="I391" t="n">
        <x:v>0</x:v>
      </x:c>
      <x:c r="J391" t="n">
        <x:v>7909.64</x:v>
      </x:c>
      <x:c r="K391" t="n">
        <x:v>5615.56</x:v>
      </x:c>
      <x:c r="L391" t="n">
        <x:f>IFERROR(DATEVALUE(D391)-DATEVALUE(B391),"")</x:f>
        <x:v>3</x:v>
      </x:c>
      <x:c r="M391" t="n">
        <x:f>IFERROR(IF(AND(DATEVALUE(D391)&lt;=DATEVALUE(C391),I391=0),1,0),0)</x:f>
        <x:v>1</x:v>
      </x:c>
    </x:row>
    <x:row r="392">
      <x:c r="A392" t="str">
        <x:v>SO0000391</x:v>
      </x:c>
      <x:c r="B392" t="str">
        <x:v>2024-12-03</x:v>
      </x:c>
      <x:c r="C392" t="str">
        <x:v>2024-12-14</x:v>
      </x:c>
      <x:c r="D392" t="str">
        <x:v>2024-12-10</x:v>
      </x:c>
      <x:c r="E392" t="str">
        <x:v>Waikato</x:v>
      </x:c>
      <x:c r="F392" t="str">
        <x:v>Partially Delivered</x:v>
      </x:c>
      <x:c r="G392" t="n">
        <x:v>28</x:v>
      </x:c>
      <x:c r="H392" t="n">
        <x:v>20</x:v>
      </x:c>
      <x:c r="I392" t="n">
        <x:v>8</x:v>
      </x:c>
      <x:c r="J392" t="n">
        <x:v>3203.4</x:v>
      </x:c>
      <x:c r="K392" t="n">
        <x:v>2165</x:v>
      </x:c>
      <x:c r="L392" t="n">
        <x:f>IFERROR(DATEVALUE(D392)-DATEVALUE(B392),"")</x:f>
        <x:v>7</x:v>
      </x:c>
      <x:c r="M392" t="n">
        <x:f>IFERROR(IF(AND(DATEVALUE(D392)&lt;=DATEVALUE(C392),I392=0),1,0),0)</x:f>
        <x:v>0</x:v>
      </x:c>
    </x:row>
    <x:row r="393">
      <x:c r="A393" t="str">
        <x:v>SO0000392</x:v>
      </x:c>
      <x:c r="B393" t="str">
        <x:v>2025-08-04</x:v>
      </x:c>
      <x:c r="C393" t="str">
        <x:v>2025-08-11</x:v>
      </x:c>
      <x:c r="D393" t="str">
        <x:v>2025-08-10</x:v>
      </x:c>
      <x:c r="E393" t="str">
        <x:v>Waikato</x:v>
      </x:c>
      <x:c r="F393" t="str">
        <x:v>Delivered</x:v>
      </x:c>
      <x:c r="G393" t="n">
        <x:v>10</x:v>
      </x:c>
      <x:c r="H393" t="n">
        <x:v>10</x:v>
      </x:c>
      <x:c r="I393" t="n">
        <x:v>0</x:v>
      </x:c>
      <x:c r="J393" t="n">
        <x:v>893.05</x:v>
      </x:c>
      <x:c r="K393" t="n">
        <x:v>675.35</x:v>
      </x:c>
      <x:c r="L393" t="n">
        <x:f>IFERROR(DATEVALUE(D393)-DATEVALUE(B393),"")</x:f>
        <x:v>6</x:v>
      </x:c>
      <x:c r="M393" t="n">
        <x:f>IFERROR(IF(AND(DATEVALUE(D393)&lt;=DATEVALUE(C393),I393=0),1,0),0)</x:f>
        <x:v>1</x:v>
      </x:c>
    </x:row>
    <x:row r="394">
      <x:c r="A394" t="str">
        <x:v>SO0000393</x:v>
      </x:c>
      <x:c r="B394" t="str">
        <x:v>2026-02-16</x:v>
      </x:c>
      <x:c r="C394" t="str">
        <x:v>2026-02-24</x:v>
      </x:c>
      <x:c r="D394" t="str">
        <x:v>2026-02-21</x:v>
      </x:c>
      <x:c r="E394" t="str">
        <x:v>Wellington</x:v>
      </x:c>
      <x:c r="F394" t="str">
        <x:v>Delivered</x:v>
      </x:c>
      <x:c r="G394" t="n">
        <x:v>45</x:v>
      </x:c>
      <x:c r="H394" t="n">
        <x:v>45</x:v>
      </x:c>
      <x:c r="I394" t="n">
        <x:v>0</x:v>
      </x:c>
      <x:c r="J394" t="n">
        <x:v>5171.5</x:v>
      </x:c>
      <x:c r="K394" t="n">
        <x:v>4139.05</x:v>
      </x:c>
      <x:c r="L394" t="n">
        <x:f>IFERROR(DATEVALUE(D394)-DATEVALUE(B394),"")</x:f>
        <x:v>5</x:v>
      </x:c>
      <x:c r="M394" t="n">
        <x:f>IFERROR(IF(AND(DATEVALUE(D394)&lt;=DATEVALUE(C394),I394=0),1,0),0)</x:f>
        <x:v>1</x:v>
      </x:c>
    </x:row>
    <x:row r="395">
      <x:c r="A395" t="str">
        <x:v>SO0000394</x:v>
      </x:c>
      <x:c r="B395" t="str">
        <x:v>2026-04-28</x:v>
      </x:c>
      <x:c r="C395" t="str">
        <x:v>2026-05-07</x:v>
      </x:c>
      <x:c r="D395"/>
      <x:c r="E395" t="str">
        <x:v>Waikato</x:v>
      </x:c>
      <x:c r="F395" t="str">
        <x:v>Open</x:v>
      </x:c>
      <x:c r="G395" t="n">
        <x:v>43</x:v>
      </x:c>
      <x:c r="H395" t="n">
        <x:v>0</x:v>
      </x:c>
      <x:c r="I395" t="n">
        <x:v>43</x:v>
      </x:c>
      <x:c r="J395" t="str">
        <x:v>0.0</x:v>
      </x:c>
      <x:c r="K395" t="str">
        <x:v>0.0</x:v>
      </x:c>
      <x:c r="L395" t="str">
        <x:f>IFERROR(DATEVALUE(D395)-DATEVALUE(B395),"")</x:f>
      </x:c>
      <x:c r="M395" t="n">
        <x:f>IFERROR(IF(AND(DATEVALUE(D395)&lt;=DATEVALUE(C395),I395=0),1,0),0)</x:f>
        <x:v>0</x:v>
      </x:c>
    </x:row>
    <x:row r="396">
      <x:c r="A396" t="str">
        <x:v>SO0000395</x:v>
      </x:c>
      <x:c r="B396" t="str">
        <x:v>2025-12-21</x:v>
      </x:c>
      <x:c r="C396" t="str">
        <x:v>2026-01-01</x:v>
      </x:c>
      <x:c r="D396" t="str">
        <x:v>2025-12-30</x:v>
      </x:c>
      <x:c r="E396" t="str">
        <x:v>Bay of Plenty</x:v>
      </x:c>
      <x:c r="F396" t="str">
        <x:v>Delivered</x:v>
      </x:c>
      <x:c r="G396" t="n">
        <x:v>38</x:v>
      </x:c>
      <x:c r="H396" t="n">
        <x:v>38</x:v>
      </x:c>
      <x:c r="I396" t="n">
        <x:v>0</x:v>
      </x:c>
      <x:c r="J396" t="n">
        <x:v>4027.24</x:v>
      </x:c>
      <x:c r="K396" t="n">
        <x:v>3195.76</x:v>
      </x:c>
      <x:c r="L396" t="n">
        <x:f>IFERROR(DATEVALUE(D396)-DATEVALUE(B396),"")</x:f>
        <x:v>9</x:v>
      </x:c>
      <x:c r="M396" t="n">
        <x:f>IFERROR(IF(AND(DATEVALUE(D396)&lt;=DATEVALUE(C396),I396=0),1,0),0)</x:f>
        <x:v>1</x:v>
      </x:c>
    </x:row>
    <x:row r="397">
      <x:c r="A397" t="str">
        <x:v>SO0000396</x:v>
      </x:c>
      <x:c r="B397" t="str">
        <x:v>2026-08-14</x:v>
      </x:c>
      <x:c r="C397" t="str">
        <x:v>2026-08-19</x:v>
      </x:c>
      <x:c r="D397" t="str">
        <x:v>2026-08-20</x:v>
      </x:c>
      <x:c r="E397" t="str">
        <x:v>Canterbury</x:v>
      </x:c>
      <x:c r="F397" t="str">
        <x:v>Delivered</x:v>
      </x:c>
      <x:c r="G397" t="n">
        <x:v>18</x:v>
      </x:c>
      <x:c r="H397" t="n">
        <x:v>18</x:v>
      </x:c>
      <x:c r="I397" t="n">
        <x:v>0</x:v>
      </x:c>
      <x:c r="J397" t="n">
        <x:v>2822.52</x:v>
      </x:c>
      <x:c r="K397" t="n">
        <x:v>1984.26</x:v>
      </x:c>
      <x:c r="L397" t="n">
        <x:f>IFERROR(DATEVALUE(D397)-DATEVALUE(B397),"")</x:f>
        <x:v>6</x:v>
      </x:c>
      <x:c r="M397" t="n">
        <x:f>IFERROR(IF(AND(DATEVALUE(D397)&lt;=DATEVALUE(C397),I397=0),1,0),0)</x:f>
        <x:v>0</x:v>
      </x:c>
    </x:row>
    <x:row r="398">
      <x:c r="A398" t="str">
        <x:v>SO0000397</x:v>
      </x:c>
      <x:c r="B398" t="str">
        <x:v>2026-01-15</x:v>
      </x:c>
      <x:c r="C398" t="str">
        <x:v>2026-01-21</x:v>
      </x:c>
      <x:c r="D398" t="str">
        <x:v>2026-01-20</x:v>
      </x:c>
      <x:c r="E398" t="str">
        <x:v>Wellington</x:v>
      </x:c>
      <x:c r="F398" t="str">
        <x:v>Partially Delivered</x:v>
      </x:c>
      <x:c r="G398" t="n">
        <x:v>43</x:v>
      </x:c>
      <x:c r="H398" t="n">
        <x:v>28</x:v>
      </x:c>
      <x:c r="I398" t="n">
        <x:v>15</x:v>
      </x:c>
      <x:c r="J398" t="n">
        <x:v>3335.68</x:v>
      </x:c>
      <x:c r="K398" t="n">
        <x:v>2491.96</x:v>
      </x:c>
      <x:c r="L398" t="n">
        <x:f>IFERROR(DATEVALUE(D398)-DATEVALUE(B398),"")</x:f>
        <x:v>5</x:v>
      </x:c>
      <x:c r="M398" t="n">
        <x:f>IFERROR(IF(AND(DATEVALUE(D398)&lt;=DATEVALUE(C398),I398=0),1,0),0)</x:f>
        <x:v>0</x:v>
      </x:c>
    </x:row>
    <x:row r="399">
      <x:c r="A399" t="str">
        <x:v>SO0000398</x:v>
      </x:c>
      <x:c r="B399" t="str">
        <x:v>2024-11-12</x:v>
      </x:c>
      <x:c r="C399" t="str">
        <x:v>2024-11-17</x:v>
      </x:c>
      <x:c r="D399" t="str">
        <x:v>2024-11-18</x:v>
      </x:c>
      <x:c r="E399" t="str">
        <x:v>Auckland</x:v>
      </x:c>
      <x:c r="F399" t="str">
        <x:v>Partially Delivered</x:v>
      </x:c>
      <x:c r="G399" t="n">
        <x:v>75</x:v>
      </x:c>
      <x:c r="H399" t="n">
        <x:v>45</x:v>
      </x:c>
      <x:c r="I399" t="n">
        <x:v>30</x:v>
      </x:c>
      <x:c r="J399" t="n">
        <x:v>5488.65</x:v>
      </x:c>
      <x:c r="K399" t="n">
        <x:v>3725.9</x:v>
      </x:c>
      <x:c r="L399" t="n">
        <x:f>IFERROR(DATEVALUE(D399)-DATEVALUE(B399),"")</x:f>
        <x:v>6</x:v>
      </x:c>
      <x:c r="M399" t="n">
        <x:f>IFERROR(IF(AND(DATEVALUE(D399)&lt;=DATEVALUE(C399),I399=0),1,0),0)</x:f>
        <x:v>0</x:v>
      </x:c>
    </x:row>
    <x:row r="400">
      <x:c r="A400" t="str">
        <x:v>SO0000399</x:v>
      </x:c>
      <x:c r="B400" t="str">
        <x:v>2025-04-13</x:v>
      </x:c>
      <x:c r="C400" t="str">
        <x:v>2025-04-19</x:v>
      </x:c>
      <x:c r="D400" t="str">
        <x:v>2025-04-19</x:v>
      </x:c>
      <x:c r="E400" t="str">
        <x:v>Auckland</x:v>
      </x:c>
      <x:c r="F400" t="str">
        <x:v>Delivered</x:v>
      </x:c>
      <x:c r="G400" t="n">
        <x:v>70</x:v>
      </x:c>
      <x:c r="H400" t="n">
        <x:v>70</x:v>
      </x:c>
      <x:c r="I400" t="n">
        <x:v>0</x:v>
      </x:c>
      <x:c r="J400" t="n">
        <x:v>10061.07</x:v>
      </x:c>
      <x:c r="K400" t="n">
        <x:v>7764.04</x:v>
      </x:c>
      <x:c r="L400" t="n">
        <x:f>IFERROR(DATEVALUE(D400)-DATEVALUE(B400),"")</x:f>
        <x:v>6</x:v>
      </x:c>
      <x:c r="M400" t="n">
        <x:f>IFERROR(IF(AND(DATEVALUE(D400)&lt;=DATEVALUE(C400),I400=0),1,0),0)</x:f>
        <x:v>1</x:v>
      </x:c>
    </x:row>
    <x:row r="401">
      <x:c r="A401" t="str">
        <x:v>SO0000400</x:v>
      </x:c>
      <x:c r="B401" t="str">
        <x:v>2025-02-05</x:v>
      </x:c>
      <x:c r="C401" t="str">
        <x:v>2025-02-16</x:v>
      </x:c>
      <x:c r="D401" t="str">
        <x:v>2025-02-11</x:v>
      </x:c>
      <x:c r="E401" t="str">
        <x:v>Bay of Plenty</x:v>
      </x:c>
      <x:c r="F401" t="str">
        <x:v>Delivered</x:v>
      </x:c>
      <x:c r="G401" t="n">
        <x:v>20</x:v>
      </x:c>
      <x:c r="H401" t="n">
        <x:v>20</x:v>
      </x:c>
      <x:c r="I401" t="n">
        <x:v>0</x:v>
      </x:c>
      <x:c r="J401" t="n">
        <x:v>868.65</x:v>
      </x:c>
      <x:c r="K401" t="n">
        <x:v>728.2</x:v>
      </x:c>
      <x:c r="L401" t="n">
        <x:f>IFERROR(DATEVALUE(D401)-DATEVALUE(B401),"")</x:f>
        <x:v>6</x:v>
      </x:c>
      <x:c r="M401" t="n">
        <x:f>IFERROR(IF(AND(DATEVALUE(D401)&lt;=DATEVALUE(C401),I401=0),1,0),0)</x:f>
        <x:v>1</x:v>
      </x:c>
    </x:row>
    <x:row r="402">
      <x:c r="A402" t="str">
        <x:v>SO0000401</x:v>
      </x:c>
      <x:c r="B402" t="str">
        <x:v>2025-10-31</x:v>
      </x:c>
      <x:c r="C402" t="str">
        <x:v>2025-11-10</x:v>
      </x:c>
      <x:c r="D402" t="str">
        <x:v>2025-11-04</x:v>
      </x:c>
      <x:c r="E402" t="str">
        <x:v>Waikato</x:v>
      </x:c>
      <x:c r="F402" t="str">
        <x:v>Partially Delivered</x:v>
      </x:c>
      <x:c r="G402" t="n">
        <x:v>55</x:v>
      </x:c>
      <x:c r="H402" t="n">
        <x:v>40</x:v>
      </x:c>
      <x:c r="I402" t="n">
        <x:v>15</x:v>
      </x:c>
      <x:c r="J402" t="n">
        <x:v>4964.7</x:v>
      </x:c>
      <x:c r="K402" t="n">
        <x:v>3330.5</x:v>
      </x:c>
      <x:c r="L402" t="n">
        <x:f>IFERROR(DATEVALUE(D402)-DATEVALUE(B402),"")</x:f>
        <x:v>4</x:v>
      </x:c>
      <x:c r="M402" t="n">
        <x:f>IFERROR(IF(AND(DATEVALUE(D402)&lt;=DATEVALUE(C402),I402=0),1,0),0)</x:f>
        <x:v>0</x:v>
      </x:c>
    </x:row>
    <x:row r="403">
      <x:c r="A403" t="str">
        <x:v>SO0000402</x:v>
      </x:c>
      <x:c r="B403" t="str">
        <x:v>2025-09-04</x:v>
      </x:c>
      <x:c r="C403" t="str">
        <x:v>2025-09-10</x:v>
      </x:c>
      <x:c r="D403" t="str">
        <x:v>2025-09-11</x:v>
      </x:c>
      <x:c r="E403" t="str">
        <x:v>Bay of Plenty</x:v>
      </x:c>
      <x:c r="F403" t="str">
        <x:v>Partially Delivered</x:v>
      </x:c>
      <x:c r="G403" t="n">
        <x:v>98</x:v>
      </x:c>
      <x:c r="H403" t="n">
        <x:v>69</x:v>
      </x:c>
      <x:c r="I403" t="n">
        <x:v>29</x:v>
      </x:c>
      <x:c r="J403" t="n">
        <x:v>8419.24</x:v>
      </x:c>
      <x:c r="K403" t="n">
        <x:v>5867.41</x:v>
      </x:c>
      <x:c r="L403" t="n">
        <x:f>IFERROR(DATEVALUE(D403)-DATEVALUE(B403),"")</x:f>
        <x:v>7</x:v>
      </x:c>
      <x:c r="M403" t="n">
        <x:f>IFERROR(IF(AND(DATEVALUE(D403)&lt;=DATEVALUE(C403),I403=0),1,0),0)</x:f>
        <x:v>0</x:v>
      </x:c>
    </x:row>
    <x:row r="404">
      <x:c r="A404" t="str">
        <x:v>SO0000403</x:v>
      </x:c>
      <x:c r="B404" t="str">
        <x:v>2025-03-31</x:v>
      </x:c>
      <x:c r="C404" t="str">
        <x:v>2025-04-10</x:v>
      </x:c>
      <x:c r="D404" t="str">
        <x:v>2025-04-04</x:v>
      </x:c>
      <x:c r="E404" t="str">
        <x:v>Auckland</x:v>
      </x:c>
      <x:c r="F404" t="str">
        <x:v>Delivered</x:v>
      </x:c>
      <x:c r="G404" t="n">
        <x:v>41</x:v>
      </x:c>
      <x:c r="H404" t="n">
        <x:v>41</x:v>
      </x:c>
      <x:c r="I404" t="n">
        <x:v>0</x:v>
      </x:c>
      <x:c r="J404" t="n">
        <x:v>6124.02</x:v>
      </x:c>
      <x:c r="K404" t="n">
        <x:v>4125.88</x:v>
      </x:c>
      <x:c r="L404" t="n">
        <x:f>IFERROR(DATEVALUE(D404)-DATEVALUE(B404),"")</x:f>
        <x:v>4</x:v>
      </x:c>
      <x:c r="M404" t="n">
        <x:f>IFERROR(IF(AND(DATEVALUE(D404)&lt;=DATEVALUE(C404),I404=0),1,0),0)</x:f>
        <x:v>1</x:v>
      </x:c>
    </x:row>
    <x:row r="405">
      <x:c r="A405" t="str">
        <x:v>SO0000404</x:v>
      </x:c>
      <x:c r="B405" t="str">
        <x:v>2025-09-02</x:v>
      </x:c>
      <x:c r="C405" t="str">
        <x:v>2025-09-12</x:v>
      </x:c>
      <x:c r="D405" t="str">
        <x:v>2025-09-07</x:v>
      </x:c>
      <x:c r="E405" t="str">
        <x:v>Canterbury</x:v>
      </x:c>
      <x:c r="F405" t="str">
        <x:v>Delivered</x:v>
      </x:c>
      <x:c r="G405" t="n">
        <x:v>15</x:v>
      </x:c>
      <x:c r="H405" t="n">
        <x:v>15</x:v>
      </x:c>
      <x:c r="I405" t="n">
        <x:v>0</x:v>
      </x:c>
      <x:c r="J405" t="n">
        <x:v>95.85</x:v>
      </x:c>
      <x:c r="K405" t="n">
        <x:v>75.3</x:v>
      </x:c>
      <x:c r="L405" t="n">
        <x:f>IFERROR(DATEVALUE(D405)-DATEVALUE(B405),"")</x:f>
        <x:v>5</x:v>
      </x:c>
      <x:c r="M405" t="n">
        <x:f>IFERROR(IF(AND(DATEVALUE(D405)&lt;=DATEVALUE(C405),I405=0),1,0),0)</x:f>
        <x:v>1</x:v>
      </x:c>
    </x:row>
    <x:row r="406">
      <x:c r="A406" t="str">
        <x:v>SO0000405</x:v>
      </x:c>
      <x:c r="B406" t="str">
        <x:v>2026-07-22</x:v>
      </x:c>
      <x:c r="C406" t="str">
        <x:v>2026-08-02</x:v>
      </x:c>
      <x:c r="D406" t="str">
        <x:v>2026-07-25</x:v>
      </x:c>
      <x:c r="E406" t="str">
        <x:v>Canterbury</x:v>
      </x:c>
      <x:c r="F406" t="str">
        <x:v>Delivered</x:v>
      </x:c>
      <x:c r="G406" t="n">
        <x:v>16</x:v>
      </x:c>
      <x:c r="H406" t="n">
        <x:v>16</x:v>
      </x:c>
      <x:c r="I406" t="n">
        <x:v>0</x:v>
      </x:c>
      <x:c r="J406" t="n">
        <x:v>2158.66</x:v>
      </x:c>
      <x:c r="K406" t="n">
        <x:v>1557.38</x:v>
      </x:c>
      <x:c r="L406" t="n">
        <x:f>IFERROR(DATEVALUE(D406)-DATEVALUE(B406),"")</x:f>
        <x:v>3</x:v>
      </x:c>
      <x:c r="M406" t="n">
        <x:f>IFERROR(IF(AND(DATEVALUE(D406)&lt;=DATEVALUE(C406),I406=0),1,0),0)</x:f>
        <x:v>1</x:v>
      </x:c>
    </x:row>
    <x:row r="407">
      <x:c r="A407" t="str">
        <x:v>SO0000406</x:v>
      </x:c>
      <x:c r="B407" t="str">
        <x:v>2026-01-10</x:v>
      </x:c>
      <x:c r="C407" t="str">
        <x:v>2026-01-19</x:v>
      </x:c>
      <x:c r="D407" t="str">
        <x:v>2026-01-16</x:v>
      </x:c>
      <x:c r="E407" t="str">
        <x:v>Auckland</x:v>
      </x:c>
      <x:c r="F407" t="str">
        <x:v>Partially Delivered</x:v>
      </x:c>
      <x:c r="G407" t="n">
        <x:v>55</x:v>
      </x:c>
      <x:c r="H407" t="n">
        <x:v>45</x:v>
      </x:c>
      <x:c r="I407" t="n">
        <x:v>10</x:v>
      </x:c>
      <x:c r="J407" t="n">
        <x:v>6739.95</x:v>
      </x:c>
      <x:c r="K407" t="n">
        <x:v>4790.1</x:v>
      </x:c>
      <x:c r="L407" t="n">
        <x:f>IFERROR(DATEVALUE(D407)-DATEVALUE(B407),"")</x:f>
        <x:v>6</x:v>
      </x:c>
      <x:c r="M407" t="n">
        <x:f>IFERROR(IF(AND(DATEVALUE(D407)&lt;=DATEVALUE(C407),I407=0),1,0),0)</x:f>
        <x:v>0</x:v>
      </x:c>
    </x:row>
    <x:row r="408">
      <x:c r="A408" t="str">
        <x:v>SO0000407</x:v>
      </x:c>
      <x:c r="B408" t="str">
        <x:v>2026-02-27</x:v>
      </x:c>
      <x:c r="C408" t="str">
        <x:v>2026-03-05</x:v>
      </x:c>
      <x:c r="D408" t="str">
        <x:v>2026-03-03</x:v>
      </x:c>
      <x:c r="E408" t="str">
        <x:v>Auckland</x:v>
      </x:c>
      <x:c r="F408" t="str">
        <x:v>Delivered</x:v>
      </x:c>
      <x:c r="G408" t="n">
        <x:v>15</x:v>
      </x:c>
      <x:c r="H408" t="n">
        <x:v>15</x:v>
      </x:c>
      <x:c r="I408" t="n">
        <x:v>0</x:v>
      </x:c>
      <x:c r="J408" t="n">
        <x:v>188.85</x:v>
      </x:c>
      <x:c r="K408" t="n">
        <x:v>146.55</x:v>
      </x:c>
      <x:c r="L408" t="n">
        <x:f>IFERROR(DATEVALUE(D408)-DATEVALUE(B408),"")</x:f>
        <x:v>4</x:v>
      </x:c>
      <x:c r="M408" t="n">
        <x:f>IFERROR(IF(AND(DATEVALUE(D408)&lt;=DATEVALUE(C408),I408=0),1,0),0)</x:f>
        <x:v>1</x:v>
      </x:c>
    </x:row>
    <x:row r="409">
      <x:c r="A409" t="str">
        <x:v>SO0000408</x:v>
      </x:c>
      <x:c r="B409" t="str">
        <x:v>2024-11-07</x:v>
      </x:c>
      <x:c r="C409" t="str">
        <x:v>2024-11-15</x:v>
      </x:c>
      <x:c r="D409" t="str">
        <x:v>2024-11-12</x:v>
      </x:c>
      <x:c r="E409" t="str">
        <x:v>Canterbury</x:v>
      </x:c>
      <x:c r="F409" t="str">
        <x:v>Delivered</x:v>
      </x:c>
      <x:c r="G409" t="n">
        <x:v>35</x:v>
      </x:c>
      <x:c r="H409" t="n">
        <x:v>35</x:v>
      </x:c>
      <x:c r="I409" t="n">
        <x:v>0</x:v>
      </x:c>
      <x:c r="J409" t="n">
        <x:v>5927.05</x:v>
      </x:c>
      <x:c r="K409" t="n">
        <x:v>4431.9</x:v>
      </x:c>
      <x:c r="L409" t="n">
        <x:f>IFERROR(DATEVALUE(D409)-DATEVALUE(B409),"")</x:f>
        <x:v>5</x:v>
      </x:c>
      <x:c r="M409" t="n">
        <x:f>IFERROR(IF(AND(DATEVALUE(D409)&lt;=DATEVALUE(C409),I409=0),1,0),0)</x:f>
        <x:v>1</x:v>
      </x:c>
    </x:row>
    <x:row r="410">
      <x:c r="A410" t="str">
        <x:v>SO0000409</x:v>
      </x:c>
      <x:c r="B410" t="str">
        <x:v>2026-04-07</x:v>
      </x:c>
      <x:c r="C410" t="str">
        <x:v>2026-04-15</x:v>
      </x:c>
      <x:c r="D410" t="str">
        <x:v>2026-04-11</x:v>
      </x:c>
      <x:c r="E410" t="str">
        <x:v>Wellington</x:v>
      </x:c>
      <x:c r="F410" t="str">
        <x:v>Delivered</x:v>
      </x:c>
      <x:c r="G410" t="n">
        <x:v>15</x:v>
      </x:c>
      <x:c r="H410" t="n">
        <x:v>15</x:v>
      </x:c>
      <x:c r="I410" t="n">
        <x:v>0</x:v>
      </x:c>
      <x:c r="J410" t="n">
        <x:v>716.75</x:v>
      </x:c>
      <x:c r="K410" t="n">
        <x:v>502.6</x:v>
      </x:c>
      <x:c r="L410" t="n">
        <x:f>IFERROR(DATEVALUE(D410)-DATEVALUE(B410),"")</x:f>
        <x:v>4</x:v>
      </x:c>
      <x:c r="M410" t="n">
        <x:f>IFERROR(IF(AND(DATEVALUE(D410)&lt;=DATEVALUE(C410),I410=0),1,0),0)</x:f>
        <x:v>1</x:v>
      </x:c>
    </x:row>
    <x:row r="411">
      <x:c r="A411" t="str">
        <x:v>SO0000410</x:v>
      </x:c>
      <x:c r="B411" t="str">
        <x:v>2026-01-12</x:v>
      </x:c>
      <x:c r="C411" t="str">
        <x:v>2026-01-18</x:v>
      </x:c>
      <x:c r="D411" t="str">
        <x:v>2026-01-19</x:v>
      </x:c>
      <x:c r="E411" t="str">
        <x:v>Bay of Plenty</x:v>
      </x:c>
      <x:c r="F411" t="str">
        <x:v>Delivered</x:v>
      </x:c>
      <x:c r="G411" t="n">
        <x:v>15</x:v>
      </x:c>
      <x:c r="H411" t="n">
        <x:v>15</x:v>
      </x:c>
      <x:c r="I411" t="n">
        <x:v>0</x:v>
      </x:c>
      <x:c r="J411" t="n">
        <x:v>1253.55</x:v>
      </x:c>
      <x:c r="K411" t="n">
        <x:v>798.6</x:v>
      </x:c>
      <x:c r="L411" t="n">
        <x:f>IFERROR(DATEVALUE(D411)-DATEVALUE(B411),"")</x:f>
        <x:v>7</x:v>
      </x:c>
      <x:c r="M411" t="n">
        <x:f>IFERROR(IF(AND(DATEVALUE(D411)&lt;=DATEVALUE(C411),I411=0),1,0),0)</x:f>
        <x:v>0</x:v>
      </x:c>
    </x:row>
    <x:row r="412">
      <x:c r="A412" t="str">
        <x:v>SO0000411</x:v>
      </x:c>
      <x:c r="B412" t="str">
        <x:v>2025-03-06</x:v>
      </x:c>
      <x:c r="C412" t="str">
        <x:v>2025-03-12</x:v>
      </x:c>
      <x:c r="D412" t="str">
        <x:v>2025-03-12</x:v>
      </x:c>
      <x:c r="E412" t="str">
        <x:v>Canterbury</x:v>
      </x:c>
      <x:c r="F412" t="str">
        <x:v>Partially Delivered</x:v>
      </x:c>
      <x:c r="G412" t="n">
        <x:v>35</x:v>
      </x:c>
      <x:c r="H412" t="n">
        <x:v>15</x:v>
      </x:c>
      <x:c r="I412" t="n">
        <x:v>20</x:v>
      </x:c>
      <x:c r="J412" t="n">
        <x:v>2356.6</x:v>
      </x:c>
      <x:c r="K412" t="n">
        <x:v>1591.65</x:v>
      </x:c>
      <x:c r="L412" t="n">
        <x:f>IFERROR(DATEVALUE(D412)-DATEVALUE(B412),"")</x:f>
        <x:v>6</x:v>
      </x:c>
      <x:c r="M412" t="n">
        <x:f>IFERROR(IF(AND(DATEVALUE(D412)&lt;=DATEVALUE(C412),I412=0),1,0),0)</x:f>
        <x:v>0</x:v>
      </x:c>
    </x:row>
    <x:row r="413">
      <x:c r="A413" t="str">
        <x:v>SO0000412</x:v>
      </x:c>
      <x:c r="B413" t="str">
        <x:v>2026-02-02</x:v>
      </x:c>
      <x:c r="C413" t="str">
        <x:v>2026-02-10</x:v>
      </x:c>
      <x:c r="D413" t="str">
        <x:v>2026-02-06</x:v>
      </x:c>
      <x:c r="E413" t="str">
        <x:v>Canterbury</x:v>
      </x:c>
      <x:c r="F413" t="str">
        <x:v>Delivered</x:v>
      </x:c>
      <x:c r="G413" t="n">
        <x:v>9</x:v>
      </x:c>
      <x:c r="H413" t="n">
        <x:v>9</x:v>
      </x:c>
      <x:c r="I413" t="n">
        <x:v>0</x:v>
      </x:c>
      <x:c r="J413" t="n">
        <x:v>1590.98</x:v>
      </x:c>
      <x:c r="K413" t="n">
        <x:v>1111.26</x:v>
      </x:c>
      <x:c r="L413" t="n">
        <x:f>IFERROR(DATEVALUE(D413)-DATEVALUE(B413),"")</x:f>
        <x:v>4</x:v>
      </x:c>
      <x:c r="M413" t="n">
        <x:f>IFERROR(IF(AND(DATEVALUE(D413)&lt;=DATEVALUE(C413),I413=0),1,0),0)</x:f>
        <x:v>1</x:v>
      </x:c>
    </x:row>
    <x:row r="414">
      <x:c r="A414" t="str">
        <x:v>SO0000413</x:v>
      </x:c>
      <x:c r="B414" t="str">
        <x:v>2025-09-23</x:v>
      </x:c>
      <x:c r="C414" t="str">
        <x:v>2025-09-29</x:v>
      </x:c>
      <x:c r="D414" t="str">
        <x:v>2025-09-29</x:v>
      </x:c>
      <x:c r="E414" t="str">
        <x:v>Canterbury</x:v>
      </x:c>
      <x:c r="F414" t="str">
        <x:v>Delivered</x:v>
      </x:c>
      <x:c r="G414" t="n">
        <x:v>5</x:v>
      </x:c>
      <x:c r="H414" t="n">
        <x:v>5</x:v>
      </x:c>
      <x:c r="I414" t="n">
        <x:v>0</x:v>
      </x:c>
      <x:c r="J414" t="n">
        <x:v>142.15</x:v>
      </x:c>
      <x:c r="K414" t="n">
        <x:v>98.3</x:v>
      </x:c>
      <x:c r="L414" t="n">
        <x:f>IFERROR(DATEVALUE(D414)-DATEVALUE(B414),"")</x:f>
        <x:v>6</x:v>
      </x:c>
      <x:c r="M414" t="n">
        <x:f>IFERROR(IF(AND(DATEVALUE(D414)&lt;=DATEVALUE(C414),I414=0),1,0),0)</x:f>
        <x:v>1</x:v>
      </x:c>
    </x:row>
    <x:row r="415">
      <x:c r="A415" t="str">
        <x:v>SO0000414</x:v>
      </x:c>
      <x:c r="B415" t="str">
        <x:v>2025-12-30</x:v>
      </x:c>
      <x:c r="C415" t="str">
        <x:v>2026-01-08</x:v>
      </x:c>
      <x:c r="D415" t="str">
        <x:v>2026-01-02</x:v>
      </x:c>
      <x:c r="E415" t="str">
        <x:v>Wellington</x:v>
      </x:c>
      <x:c r="F415" t="str">
        <x:v>Partially Delivered</x:v>
      </x:c>
      <x:c r="G415" t="n">
        <x:v>68</x:v>
      </x:c>
      <x:c r="H415" t="n">
        <x:v>58</x:v>
      </x:c>
      <x:c r="I415" t="n">
        <x:v>10</x:v>
      </x:c>
      <x:c r="J415" t="n">
        <x:v>8620.15</x:v>
      </x:c>
      <x:c r="K415" t="n">
        <x:v>6327.52</x:v>
      </x:c>
      <x:c r="L415" t="n">
        <x:f>IFERROR(DATEVALUE(D415)-DATEVALUE(B415),"")</x:f>
        <x:v>3</x:v>
      </x:c>
      <x:c r="M415" t="n">
        <x:f>IFERROR(IF(AND(DATEVALUE(D415)&lt;=DATEVALUE(C415),I415=0),1,0),0)</x:f>
        <x:v>0</x:v>
      </x:c>
    </x:row>
    <x:row r="416">
      <x:c r="A416" t="str">
        <x:v>SO0000415</x:v>
      </x:c>
      <x:c r="B416" t="str">
        <x:v>2025-07-15</x:v>
      </x:c>
      <x:c r="C416" t="str">
        <x:v>2025-07-20</x:v>
      </x:c>
      <x:c r="D416" t="str">
        <x:v>2025-07-20</x:v>
      </x:c>
      <x:c r="E416" t="str">
        <x:v>Bay of Plenty</x:v>
      </x:c>
      <x:c r="F416" t="str">
        <x:v>Delivered</x:v>
      </x:c>
      <x:c r="G416" t="n">
        <x:v>46</x:v>
      </x:c>
      <x:c r="H416" t="n">
        <x:v>46</x:v>
      </x:c>
      <x:c r="I416" t="n">
        <x:v>0</x:v>
      </x:c>
      <x:c r="J416" t="n">
        <x:v>1489.28</x:v>
      </x:c>
      <x:c r="K416" t="n">
        <x:v>1110.1</x:v>
      </x:c>
      <x:c r="L416" t="n">
        <x:f>IFERROR(DATEVALUE(D416)-DATEVALUE(B416),"")</x:f>
        <x:v>5</x:v>
      </x:c>
      <x:c r="M416" t="n">
        <x:f>IFERROR(IF(AND(DATEVALUE(D416)&lt;=DATEVALUE(C416),I416=0),1,0),0)</x:f>
        <x:v>1</x:v>
      </x:c>
    </x:row>
    <x:row r="417">
      <x:c r="A417" t="str">
        <x:v>SO0000416</x:v>
      </x:c>
      <x:c r="B417" t="str">
        <x:v>2025-08-21</x:v>
      </x:c>
      <x:c r="C417" t="str">
        <x:v>2025-08-27</x:v>
      </x:c>
      <x:c r="D417" t="str">
        <x:v>2025-08-27</x:v>
      </x:c>
      <x:c r="E417" t="str">
        <x:v>Waikato</x:v>
      </x:c>
      <x:c r="F417" t="str">
        <x:v>Delivered</x:v>
      </x:c>
      <x:c r="G417" t="n">
        <x:v>49</x:v>
      </x:c>
      <x:c r="H417" t="n">
        <x:v>49</x:v>
      </x:c>
      <x:c r="I417" t="n">
        <x:v>0</x:v>
      </x:c>
      <x:c r="J417" t="n">
        <x:v>7848.33</x:v>
      </x:c>
      <x:c r="K417" t="n">
        <x:v>5304.25</x:v>
      </x:c>
      <x:c r="L417" t="n">
        <x:f>IFERROR(DATEVALUE(D417)-DATEVALUE(B417),"")</x:f>
        <x:v>6</x:v>
      </x:c>
      <x:c r="M417" t="n">
        <x:f>IFERROR(IF(AND(DATEVALUE(D417)&lt;=DATEVALUE(C417),I417=0),1,0),0)</x:f>
        <x:v>1</x:v>
      </x:c>
    </x:row>
    <x:row r="418">
      <x:c r="A418" t="str">
        <x:v>SO0000417</x:v>
      </x:c>
      <x:c r="B418" t="str">
        <x:v>2026-08-25</x:v>
      </x:c>
      <x:c r="C418" t="str">
        <x:v>2026-08-31</x:v>
      </x:c>
      <x:c r="D418" t="str">
        <x:v>2026-08-30</x:v>
      </x:c>
      <x:c r="E418" t="str">
        <x:v>Auckland</x:v>
      </x:c>
      <x:c r="F418" t="str">
        <x:v>Delivered</x:v>
      </x:c>
      <x:c r="G418" t="n">
        <x:v>8</x:v>
      </x:c>
      <x:c r="H418" t="n">
        <x:v>8</x:v>
      </x:c>
      <x:c r="I418" t="n">
        <x:v>0</x:v>
      </x:c>
      <x:c r="J418" t="n">
        <x:v>82.56</x:v>
      </x:c>
      <x:c r="K418" t="n">
        <x:v>68.08</x:v>
      </x:c>
      <x:c r="L418" t="n">
        <x:f>IFERROR(DATEVALUE(D418)-DATEVALUE(B418),"")</x:f>
        <x:v>5</x:v>
      </x:c>
      <x:c r="M418" t="n">
        <x:f>IFERROR(IF(AND(DATEVALUE(D418)&lt;=DATEVALUE(C418),I418=0),1,0),0)</x:f>
        <x:v>1</x:v>
      </x:c>
    </x:row>
    <x:row r="419">
      <x:c r="A419" t="str">
        <x:v>SO0000418</x:v>
      </x:c>
      <x:c r="B419" t="str">
        <x:v>2024-12-14</x:v>
      </x:c>
      <x:c r="C419" t="str">
        <x:v>2024-12-25</x:v>
      </x:c>
      <x:c r="D419" t="str">
        <x:v>2024-12-19</x:v>
      </x:c>
      <x:c r="E419" t="str">
        <x:v>Canterbury</x:v>
      </x:c>
      <x:c r="F419" t="str">
        <x:v>Delivered</x:v>
      </x:c>
      <x:c r="G419" t="n">
        <x:v>28</x:v>
      </x:c>
      <x:c r="H419" t="n">
        <x:v>28</x:v>
      </x:c>
      <x:c r="I419" t="n">
        <x:v>0</x:v>
      </x:c>
      <x:c r="J419" t="n">
        <x:v>4797.92</x:v>
      </x:c>
      <x:c r="K419" t="n">
        <x:v>3454.27</x:v>
      </x:c>
      <x:c r="L419" t="n">
        <x:f>IFERROR(DATEVALUE(D419)-DATEVALUE(B419),"")</x:f>
        <x:v>5</x:v>
      </x:c>
      <x:c r="M419" t="n">
        <x:f>IFERROR(IF(AND(DATEVALUE(D419)&lt;=DATEVALUE(C419),I419=0),1,0),0)</x:f>
        <x:v>1</x:v>
      </x:c>
    </x:row>
    <x:row r="420">
      <x:c r="A420" t="str">
        <x:v>SO0000419</x:v>
      </x:c>
      <x:c r="B420" t="str">
        <x:v>2024-10-31</x:v>
      </x:c>
      <x:c r="C420" t="str">
        <x:v>2024-11-08</x:v>
      </x:c>
      <x:c r="D420" t="str">
        <x:v>2024-11-04</x:v>
      </x:c>
      <x:c r="E420" t="str">
        <x:v>Waikato</x:v>
      </x:c>
      <x:c r="F420" t="str">
        <x:v>Delivered</x:v>
      </x:c>
      <x:c r="G420" t="n">
        <x:v>10</x:v>
      </x:c>
      <x:c r="H420" t="n">
        <x:v>10</x:v>
      </x:c>
      <x:c r="I420" t="n">
        <x:v>0</x:v>
      </x:c>
      <x:c r="J420" t="n">
        <x:v>1639.9</x:v>
      </x:c>
      <x:c r="K420" t="n">
        <x:v>1218.2</x:v>
      </x:c>
      <x:c r="L420" t="n">
        <x:f>IFERROR(DATEVALUE(D420)-DATEVALUE(B420),"")</x:f>
        <x:v>4</x:v>
      </x:c>
      <x:c r="M420" t="n">
        <x:f>IFERROR(IF(AND(DATEVALUE(D420)&lt;=DATEVALUE(C420),I420=0),1,0),0)</x:f>
        <x:v>1</x:v>
      </x:c>
    </x:row>
    <x:row r="421">
      <x:c r="A421" t="str">
        <x:v>SO0000420</x:v>
      </x:c>
      <x:c r="B421" t="str">
        <x:v>2026-01-11</x:v>
      </x:c>
      <x:c r="C421" t="str">
        <x:v>2026-01-18</x:v>
      </x:c>
      <x:c r="D421" t="str">
        <x:v>2026-01-14</x:v>
      </x:c>
      <x:c r="E421" t="str">
        <x:v>Wellington</x:v>
      </x:c>
      <x:c r="F421" t="str">
        <x:v>Delivered</x:v>
      </x:c>
      <x:c r="G421" t="n">
        <x:v>30</x:v>
      </x:c>
      <x:c r="H421" t="n">
        <x:v>30</x:v>
      </x:c>
      <x:c r="I421" t="n">
        <x:v>0</x:v>
      </x:c>
      <x:c r="J421" t="n">
        <x:v>3343.6</x:v>
      </x:c>
      <x:c r="K421" t="n">
        <x:v>2594</x:v>
      </x:c>
      <x:c r="L421" t="n">
        <x:f>IFERROR(DATEVALUE(D421)-DATEVALUE(B421),"")</x:f>
        <x:v>3</x:v>
      </x:c>
      <x:c r="M421" t="n">
        <x:f>IFERROR(IF(AND(DATEVALUE(D421)&lt;=DATEVALUE(C421),I421=0),1,0),0)</x:f>
        <x:v>1</x:v>
      </x:c>
    </x:row>
    <x:row r="422">
      <x:c r="A422" t="str">
        <x:v>SO0000421</x:v>
      </x:c>
      <x:c r="B422" t="str">
        <x:v>2024-11-22</x:v>
      </x:c>
      <x:c r="C422" t="str">
        <x:v>2024-11-27</x:v>
      </x:c>
      <x:c r="D422" t="str">
        <x:v>2024-11-28</x:v>
      </x:c>
      <x:c r="E422" t="str">
        <x:v>Auckland</x:v>
      </x:c>
      <x:c r="F422" t="str">
        <x:v>Delivered</x:v>
      </x:c>
      <x:c r="G422" t="n">
        <x:v>18</x:v>
      </x:c>
      <x:c r="H422" t="n">
        <x:v>18</x:v>
      </x:c>
      <x:c r="I422" t="n">
        <x:v>0</x:v>
      </x:c>
      <x:c r="J422" t="n">
        <x:v>2607.88</x:v>
      </x:c>
      <x:c r="K422" t="n">
        <x:v>1813.8</x:v>
      </x:c>
      <x:c r="L422" t="n">
        <x:f>IFERROR(DATEVALUE(D422)-DATEVALUE(B422),"")</x:f>
        <x:v>6</x:v>
      </x:c>
      <x:c r="M422" t="n">
        <x:f>IFERROR(IF(AND(DATEVALUE(D422)&lt;=DATEVALUE(C422),I422=0),1,0),0)</x:f>
        <x:v>0</x:v>
      </x:c>
    </x:row>
    <x:row r="423">
      <x:c r="A423" t="str">
        <x:v>SO0000422</x:v>
      </x:c>
      <x:c r="B423" t="str">
        <x:v>2026-07-22</x:v>
      </x:c>
      <x:c r="C423" t="str">
        <x:v>2026-07-29</x:v>
      </x:c>
      <x:c r="D423" t="str">
        <x:v>2026-07-29</x:v>
      </x:c>
      <x:c r="E423" t="str">
        <x:v>Auckland</x:v>
      </x:c>
      <x:c r="F423" t="str">
        <x:v>Delivered</x:v>
      </x:c>
      <x:c r="G423" t="n">
        <x:v>48</x:v>
      </x:c>
      <x:c r="H423" t="n">
        <x:v>48</x:v>
      </x:c>
      <x:c r="I423" t="n">
        <x:v>0</x:v>
      </x:c>
      <x:c r="J423" t="n">
        <x:v>975.01</x:v>
      </x:c>
      <x:c r="K423" t="n">
        <x:v>732.02</x:v>
      </x:c>
      <x:c r="L423" t="n">
        <x:f>IFERROR(DATEVALUE(D423)-DATEVALUE(B423),"")</x:f>
        <x:v>7</x:v>
      </x:c>
      <x:c r="M423" t="n">
        <x:f>IFERROR(IF(AND(DATEVALUE(D423)&lt;=DATEVALUE(C423),I423=0),1,0),0)</x:f>
        <x:v>1</x:v>
      </x:c>
    </x:row>
    <x:row r="424">
      <x:c r="A424" t="str">
        <x:v>SO0000423</x:v>
      </x:c>
      <x:c r="B424" t="str">
        <x:v>2025-03-17</x:v>
      </x:c>
      <x:c r="C424" t="str">
        <x:v>2025-03-24</x:v>
      </x:c>
      <x:c r="D424" t="str">
        <x:v>2025-03-22</x:v>
      </x:c>
      <x:c r="E424" t="str">
        <x:v>Bay of Plenty</x:v>
      </x:c>
      <x:c r="F424" t="str">
        <x:v>Partially Delivered</x:v>
      </x:c>
      <x:c r="G424" t="n">
        <x:v>33</x:v>
      </x:c>
      <x:c r="H424" t="n">
        <x:v>28</x:v>
      </x:c>
      <x:c r="I424" t="n">
        <x:v>5</x:v>
      </x:c>
      <x:c r="J424" t="n">
        <x:v>2430.9</x:v>
      </x:c>
      <x:c r="K424" t="n">
        <x:v>1966.8</x:v>
      </x:c>
      <x:c r="L424" t="n">
        <x:f>IFERROR(DATEVALUE(D424)-DATEVALUE(B424),"")</x:f>
        <x:v>5</x:v>
      </x:c>
      <x:c r="M424" t="n">
        <x:f>IFERROR(IF(AND(DATEVALUE(D424)&lt;=DATEVALUE(C424),I424=0),1,0),0)</x:f>
        <x:v>0</x:v>
      </x:c>
    </x:row>
    <x:row r="425">
      <x:c r="A425" t="str">
        <x:v>SO0000424</x:v>
      </x:c>
      <x:c r="B425" t="str">
        <x:v>2026-02-17</x:v>
      </x:c>
      <x:c r="C425" t="str">
        <x:v>2026-02-26</x:v>
      </x:c>
      <x:c r="D425" t="str">
        <x:v>2026-02-23</x:v>
      </x:c>
      <x:c r="E425" t="str">
        <x:v>Bay of Plenty</x:v>
      </x:c>
      <x:c r="F425" t="str">
        <x:v>Delivered</x:v>
      </x:c>
      <x:c r="G425" t="n">
        <x:v>25</x:v>
      </x:c>
      <x:c r="H425" t="n">
        <x:v>25</x:v>
      </x:c>
      <x:c r="I425" t="n">
        <x:v>0</x:v>
      </x:c>
      <x:c r="J425" t="n">
        <x:v>1627.95</x:v>
      </x:c>
      <x:c r="K425" t="n">
        <x:v>1112.6</x:v>
      </x:c>
      <x:c r="L425" t="n">
        <x:f>IFERROR(DATEVALUE(D425)-DATEVALUE(B425),"")</x:f>
        <x:v>6</x:v>
      </x:c>
      <x:c r="M425" t="n">
        <x:f>IFERROR(IF(AND(DATEVALUE(D425)&lt;=DATEVALUE(C425),I425=0),1,0),0)</x:f>
        <x:v>1</x:v>
      </x:c>
    </x:row>
    <x:row r="426">
      <x:c r="A426" t="str">
        <x:v>SO0000425</x:v>
      </x:c>
      <x:c r="B426" t="str">
        <x:v>2026-01-27</x:v>
      </x:c>
      <x:c r="C426" t="str">
        <x:v>2026-02-06</x:v>
      </x:c>
      <x:c r="D426" t="str">
        <x:v>2026-02-03</x:v>
      </x:c>
      <x:c r="E426" t="str">
        <x:v>Waikato</x:v>
      </x:c>
      <x:c r="F426" t="str">
        <x:v>Partially Delivered</x:v>
      </x:c>
      <x:c r="G426" t="n">
        <x:v>60</x:v>
      </x:c>
      <x:c r="H426" t="n">
        <x:v>30</x:v>
      </x:c>
      <x:c r="I426" t="n">
        <x:v>30</x:v>
      </x:c>
      <x:c r="J426" t="n">
        <x:v>3067.6</x:v>
      </x:c>
      <x:c r="K426" t="n">
        <x:v>2187.9</x:v>
      </x:c>
      <x:c r="L426" t="n">
        <x:f>IFERROR(DATEVALUE(D426)-DATEVALUE(B426),"")</x:f>
        <x:v>7</x:v>
      </x:c>
      <x:c r="M426" t="n">
        <x:f>IFERROR(IF(AND(DATEVALUE(D426)&lt;=DATEVALUE(C426),I426=0),1,0),0)</x:f>
        <x:v>0</x:v>
      </x:c>
    </x:row>
    <x:row r="427">
      <x:c r="A427" t="str">
        <x:v>SO0000426</x:v>
      </x:c>
      <x:c r="B427" t="str">
        <x:v>2026-07-23</x:v>
      </x:c>
      <x:c r="C427" t="str">
        <x:v>2026-07-28</x:v>
      </x:c>
      <x:c r="D427" t="str">
        <x:v>2026-07-28</x:v>
      </x:c>
      <x:c r="E427" t="str">
        <x:v>Waikato</x:v>
      </x:c>
      <x:c r="F427" t="str">
        <x:v>Partially Delivered</x:v>
      </x:c>
      <x:c r="G427" t="n">
        <x:v>48</x:v>
      </x:c>
      <x:c r="H427" t="n">
        <x:v>28</x:v>
      </x:c>
      <x:c r="I427" t="n">
        <x:v>20</x:v>
      </x:c>
      <x:c r="J427" t="n">
        <x:v>3166.16</x:v>
      </x:c>
      <x:c r="K427" t="n">
        <x:v>2468.96</x:v>
      </x:c>
      <x:c r="L427" t="n">
        <x:f>IFERROR(DATEVALUE(D427)-DATEVALUE(B427),"")</x:f>
        <x:v>5</x:v>
      </x:c>
      <x:c r="M427" t="n">
        <x:f>IFERROR(IF(AND(DATEVALUE(D427)&lt;=DATEVALUE(C427),I427=0),1,0),0)</x:f>
        <x:v>0</x:v>
      </x:c>
    </x:row>
    <x:row r="428">
      <x:c r="A428" t="str">
        <x:v>SO0000427</x:v>
      </x:c>
      <x:c r="B428" t="str">
        <x:v>2024-12-20</x:v>
      </x:c>
      <x:c r="C428" t="str">
        <x:v>2024-12-25</x:v>
      </x:c>
      <x:c r="D428" t="str">
        <x:v>2024-12-25</x:v>
      </x:c>
      <x:c r="E428" t="str">
        <x:v>Waikato</x:v>
      </x:c>
      <x:c r="F428" t="str">
        <x:v>Delivered</x:v>
      </x:c>
      <x:c r="G428" t="n">
        <x:v>63</x:v>
      </x:c>
      <x:c r="H428" t="n">
        <x:v>63</x:v>
      </x:c>
      <x:c r="I428" t="n">
        <x:v>0</x:v>
      </x:c>
      <x:c r="J428" t="n">
        <x:v>11705.58</x:v>
      </x:c>
      <x:c r="K428" t="n">
        <x:v>7925.79</x:v>
      </x:c>
      <x:c r="L428" t="n">
        <x:f>IFERROR(DATEVALUE(D428)-DATEVALUE(B428),"")</x:f>
        <x:v>5</x:v>
      </x:c>
      <x:c r="M428" t="n">
        <x:f>IFERROR(IF(AND(DATEVALUE(D428)&lt;=DATEVALUE(C428),I428=0),1,0),0)</x:f>
        <x:v>1</x:v>
      </x:c>
    </x:row>
    <x:row r="429">
      <x:c r="A429" t="str">
        <x:v>SO0000428</x:v>
      </x:c>
      <x:c r="B429" t="str">
        <x:v>2025-10-23</x:v>
      </x:c>
      <x:c r="C429" t="str">
        <x:v>2025-10-28</x:v>
      </x:c>
      <x:c r="D429" t="str">
        <x:v>2025-10-27</x:v>
      </x:c>
      <x:c r="E429" t="str">
        <x:v>Waikato</x:v>
      </x:c>
      <x:c r="F429" t="str">
        <x:v>Partially Delivered</x:v>
      </x:c>
      <x:c r="G429" t="n">
        <x:v>28</x:v>
      </x:c>
      <x:c r="H429" t="n">
        <x:v>25</x:v>
      </x:c>
      <x:c r="I429" t="n">
        <x:v>3</x:v>
      </x:c>
      <x:c r="J429" t="n">
        <x:v>1781.95</x:v>
      </x:c>
      <x:c r="K429" t="n">
        <x:v>1444.65</x:v>
      </x:c>
      <x:c r="L429" t="n">
        <x:f>IFERROR(DATEVALUE(D429)-DATEVALUE(B429),"")</x:f>
        <x:v>4</x:v>
      </x:c>
      <x:c r="M429" t="n">
        <x:f>IFERROR(IF(AND(DATEVALUE(D429)&lt;=DATEVALUE(C429),I429=0),1,0),0)</x:f>
        <x:v>0</x:v>
      </x:c>
    </x:row>
    <x:row r="430">
      <x:c r="A430" t="str">
        <x:v>SO0000429</x:v>
      </x:c>
      <x:c r="B430" t="str">
        <x:v>2026-06-09</x:v>
      </x:c>
      <x:c r="C430" t="str">
        <x:v>2026-06-19</x:v>
      </x:c>
      <x:c r="D430" t="str">
        <x:v>2026-06-12</x:v>
      </x:c>
      <x:c r="E430" t="str">
        <x:v>Waikato</x:v>
      </x:c>
      <x:c r="F430" t="str">
        <x:v>Delivered</x:v>
      </x:c>
      <x:c r="G430" t="n">
        <x:v>3</x:v>
      </x:c>
      <x:c r="H430" t="n">
        <x:v>3</x:v>
      </x:c>
      <x:c r="I430" t="n">
        <x:v>0</x:v>
      </x:c>
      <x:c r="J430" t="n">
        <x:v>518.67</x:v>
      </x:c>
      <x:c r="K430" t="n">
        <x:v>389.85</x:v>
      </x:c>
      <x:c r="L430" t="n">
        <x:f>IFERROR(DATEVALUE(D430)-DATEVALUE(B430),"")</x:f>
        <x:v>3</x:v>
      </x:c>
      <x:c r="M430" t="n">
        <x:f>IFERROR(IF(AND(DATEVALUE(D430)&lt;=DATEVALUE(C430),I430=0),1,0),0)</x:f>
        <x:v>1</x:v>
      </x:c>
    </x:row>
    <x:row r="431">
      <x:c r="A431" t="str">
        <x:v>SO0000430</x:v>
      </x:c>
      <x:c r="B431" t="str">
        <x:v>2026-01-18</x:v>
      </x:c>
      <x:c r="C431" t="str">
        <x:v>2026-01-26</x:v>
      </x:c>
      <x:c r="D431" t="str">
        <x:v>2026-01-24</x:v>
      </x:c>
      <x:c r="E431" t="str">
        <x:v>Auckland</x:v>
      </x:c>
      <x:c r="F431" t="str">
        <x:v>Delivered</x:v>
      </x:c>
      <x:c r="G431" t="n">
        <x:v>35</x:v>
      </x:c>
      <x:c r="H431" t="n">
        <x:v>35</x:v>
      </x:c>
      <x:c r="I431" t="n">
        <x:v>0</x:v>
      </x:c>
      <x:c r="J431" t="n">
        <x:v>3944.8</x:v>
      </x:c>
      <x:c r="K431" t="n">
        <x:v>2915.6</x:v>
      </x:c>
      <x:c r="L431" t="n">
        <x:f>IFERROR(DATEVALUE(D431)-DATEVALUE(B431),"")</x:f>
        <x:v>6</x:v>
      </x:c>
      <x:c r="M431" t="n">
        <x:f>IFERROR(IF(AND(DATEVALUE(D431)&lt;=DATEVALUE(C431),I431=0),1,0),0)</x:f>
        <x:v>1</x:v>
      </x:c>
    </x:row>
    <x:row r="432">
      <x:c r="A432" t="str">
        <x:v>SO0000431</x:v>
      </x:c>
      <x:c r="B432" t="str">
        <x:v>2026-07-29</x:v>
      </x:c>
      <x:c r="C432" t="str">
        <x:v>2026-08-05</x:v>
      </x:c>
      <x:c r="D432" t="str">
        <x:v>2026-08-06</x:v>
      </x:c>
      <x:c r="E432" t="str">
        <x:v>Canterbury</x:v>
      </x:c>
      <x:c r="F432" t="str">
        <x:v>Delivered</x:v>
      </x:c>
      <x:c r="G432" t="n">
        <x:v>33</x:v>
      </x:c>
      <x:c r="H432" t="n">
        <x:v>33</x:v>
      </x:c>
      <x:c r="I432" t="n">
        <x:v>0</x:v>
      </x:c>
      <x:c r="J432" t="n">
        <x:v>3073.47</x:v>
      </x:c>
      <x:c r="K432" t="n">
        <x:v>2201.65</x:v>
      </x:c>
      <x:c r="L432" t="n">
        <x:f>IFERROR(DATEVALUE(D432)-DATEVALUE(B432),"")</x:f>
        <x:v>8</x:v>
      </x:c>
      <x:c r="M432" t="n">
        <x:f>IFERROR(IF(AND(DATEVALUE(D432)&lt;=DATEVALUE(C432),I432=0),1,0),0)</x:f>
        <x:v>0</x:v>
      </x:c>
    </x:row>
    <x:row r="433">
      <x:c r="A433" t="str">
        <x:v>SO0000432</x:v>
      </x:c>
      <x:c r="B433" t="str">
        <x:v>2025-05-08</x:v>
      </x:c>
      <x:c r="C433" t="str">
        <x:v>2025-05-15</x:v>
      </x:c>
      <x:c r="D433" t="str">
        <x:v>2025-05-15</x:v>
      </x:c>
      <x:c r="E433" t="str">
        <x:v>Wellington</x:v>
      </x:c>
      <x:c r="F433" t="str">
        <x:v>Partially Delivered</x:v>
      </x:c>
      <x:c r="G433" t="n">
        <x:v>50</x:v>
      </x:c>
      <x:c r="H433" t="n">
        <x:v>20</x:v>
      </x:c>
      <x:c r="I433" t="n">
        <x:v>30</x:v>
      </x:c>
      <x:c r="J433" t="n">
        <x:v>321.2</x:v>
      </x:c>
      <x:c r="K433" t="n">
        <x:v>262.6</x:v>
      </x:c>
      <x:c r="L433" t="n">
        <x:f>IFERROR(DATEVALUE(D433)-DATEVALUE(B433),"")</x:f>
        <x:v>7</x:v>
      </x:c>
      <x:c r="M433" t="n">
        <x:f>IFERROR(IF(AND(DATEVALUE(D433)&lt;=DATEVALUE(C433),I433=0),1,0),0)</x:f>
        <x:v>0</x:v>
      </x:c>
    </x:row>
    <x:row r="434">
      <x:c r="A434" t="str">
        <x:v>SO0000433</x:v>
      </x:c>
      <x:c r="B434" t="str">
        <x:v>2025-01-27</x:v>
      </x:c>
      <x:c r="C434" t="str">
        <x:v>2025-02-05</x:v>
      </x:c>
      <x:c r="D434" t="str">
        <x:v>2025-02-04</x:v>
      </x:c>
      <x:c r="E434" t="str">
        <x:v>Wellington</x:v>
      </x:c>
      <x:c r="F434" t="str">
        <x:v>Delivered</x:v>
      </x:c>
      <x:c r="G434" t="n">
        <x:v>35</x:v>
      </x:c>
      <x:c r="H434" t="n">
        <x:v>35</x:v>
      </x:c>
      <x:c r="I434" t="n">
        <x:v>0</x:v>
      </x:c>
      <x:c r="J434" t="n">
        <x:v>4180.9</x:v>
      </x:c>
      <x:c r="K434" t="n">
        <x:v>2972.85</x:v>
      </x:c>
      <x:c r="L434" t="n">
        <x:f>IFERROR(DATEVALUE(D434)-DATEVALUE(B434),"")</x:f>
        <x:v>8</x:v>
      </x:c>
      <x:c r="M434" t="n">
        <x:f>IFERROR(IF(AND(DATEVALUE(D434)&lt;=DATEVALUE(C434),I434=0),1,0),0)</x:f>
        <x:v>1</x:v>
      </x:c>
    </x:row>
    <x:row r="435">
      <x:c r="A435" t="str">
        <x:v>SO0000434</x:v>
      </x:c>
      <x:c r="B435" t="str">
        <x:v>2026-09-10</x:v>
      </x:c>
      <x:c r="C435" t="str">
        <x:v>2026-09-20</x:v>
      </x:c>
      <x:c r="D435" t="str">
        <x:v>2026-09-13</x:v>
      </x:c>
      <x:c r="E435" t="str">
        <x:v>Auckland</x:v>
      </x:c>
      <x:c r="F435" t="str">
        <x:v>Delivered</x:v>
      </x:c>
      <x:c r="G435" t="n">
        <x:v>33</x:v>
      </x:c>
      <x:c r="H435" t="n">
        <x:v>33</x:v>
      </x:c>
      <x:c r="I435" t="n">
        <x:v>0</x:v>
      </x:c>
      <x:c r="J435" t="n">
        <x:v>2498.21</x:v>
      </x:c>
      <x:c r="K435" t="n">
        <x:v>1948.63</x:v>
      </x:c>
      <x:c r="L435" t="n">
        <x:f>IFERROR(DATEVALUE(D435)-DATEVALUE(B435),"")</x:f>
        <x:v>3</x:v>
      </x:c>
      <x:c r="M435" t="n">
        <x:f>IFERROR(IF(AND(DATEVALUE(D435)&lt;=DATEVALUE(C435),I435=0),1,0),0)</x:f>
        <x:v>1</x:v>
      </x:c>
    </x:row>
    <x:row r="436">
      <x:c r="A436" t="str">
        <x:v>SO0000435</x:v>
      </x:c>
      <x:c r="B436" t="str">
        <x:v>2025-12-15</x:v>
      </x:c>
      <x:c r="C436" t="str">
        <x:v>2025-12-21</x:v>
      </x:c>
      <x:c r="D436" t="str">
        <x:v>2025-12-19</x:v>
      </x:c>
      <x:c r="E436" t="str">
        <x:v>Bay of Plenty</x:v>
      </x:c>
      <x:c r="F436" t="str">
        <x:v>Partially Delivered</x:v>
      </x:c>
      <x:c r="G436" t="n">
        <x:v>21</x:v>
      </x:c>
      <x:c r="H436" t="n">
        <x:v>11</x:v>
      </x:c>
      <x:c r="I436" t="n">
        <x:v>10</x:v>
      </x:c>
      <x:c r="J436" t="n">
        <x:v>539.74</x:v>
      </x:c>
      <x:c r="K436" t="n">
        <x:v>366.05</x:v>
      </x:c>
      <x:c r="L436" t="n">
        <x:f>IFERROR(DATEVALUE(D436)-DATEVALUE(B436),"")</x:f>
        <x:v>4</x:v>
      </x:c>
      <x:c r="M436" t="n">
        <x:f>IFERROR(IF(AND(DATEVALUE(D436)&lt;=DATEVALUE(C436),I436=0),1,0),0)</x:f>
        <x:v>0</x:v>
      </x:c>
    </x:row>
    <x:row r="437">
      <x:c r="A437" t="str">
        <x:v>SO0000436</x:v>
      </x:c>
      <x:c r="B437" t="str">
        <x:v>2024-11-08</x:v>
      </x:c>
      <x:c r="C437" t="str">
        <x:v>2024-11-13</x:v>
      </x:c>
      <x:c r="D437" t="str">
        <x:v>2024-11-10</x:v>
      </x:c>
      <x:c r="E437" t="str">
        <x:v>Auckland</x:v>
      </x:c>
      <x:c r="F437" t="str">
        <x:v>Delivered</x:v>
      </x:c>
      <x:c r="G437" t="n">
        <x:v>15</x:v>
      </x:c>
      <x:c r="H437" t="n">
        <x:v>15</x:v>
      </x:c>
      <x:c r="I437" t="n">
        <x:v>0</x:v>
      </x:c>
      <x:c r="J437" t="n">
        <x:v>2835.75</x:v>
      </x:c>
      <x:c r="K437" t="n">
        <x:v>1914.75</x:v>
      </x:c>
      <x:c r="L437" t="n">
        <x:f>IFERROR(DATEVALUE(D437)-DATEVALUE(B437),"")</x:f>
        <x:v>2</x:v>
      </x:c>
      <x:c r="M437" t="n">
        <x:f>IFERROR(IF(AND(DATEVALUE(D437)&lt;=DATEVALUE(C437),I437=0),1,0),0)</x:f>
        <x:v>1</x:v>
      </x:c>
    </x:row>
    <x:row r="438">
      <x:c r="A438" t="str">
        <x:v>SO0000437</x:v>
      </x:c>
      <x:c r="B438" t="str">
        <x:v>2025-04-17</x:v>
      </x:c>
      <x:c r="C438" t="str">
        <x:v>2025-04-28</x:v>
      </x:c>
      <x:c r="D438" t="str">
        <x:v>2025-04-21</x:v>
      </x:c>
      <x:c r="E438" t="str">
        <x:v>Auckland</x:v>
      </x:c>
      <x:c r="F438" t="str">
        <x:v>Delivered</x:v>
      </x:c>
      <x:c r="G438" t="n">
        <x:v>23</x:v>
      </x:c>
      <x:c r="H438" t="n">
        <x:v>23</x:v>
      </x:c>
      <x:c r="I438" t="n">
        <x:v>0</x:v>
      </x:c>
      <x:c r="J438" t="n">
        <x:v>2576.15</x:v>
      </x:c>
      <x:c r="K438" t="n">
        <x:v>1867.75</x:v>
      </x:c>
      <x:c r="L438" t="n">
        <x:f>IFERROR(DATEVALUE(D438)-DATEVALUE(B438),"")</x:f>
        <x:v>4</x:v>
      </x:c>
      <x:c r="M438" t="n">
        <x:f>IFERROR(IF(AND(DATEVALUE(D438)&lt;=DATEVALUE(C438),I438=0),1,0),0)</x:f>
        <x:v>1</x:v>
      </x:c>
    </x:row>
    <x:row r="439">
      <x:c r="A439" t="str">
        <x:v>SO0000438</x:v>
      </x:c>
      <x:c r="B439" t="str">
        <x:v>2025-11-21</x:v>
      </x:c>
      <x:c r="C439" t="str">
        <x:v>2025-11-28</x:v>
      </x:c>
      <x:c r="D439" t="str">
        <x:v>2025-11-26</x:v>
      </x:c>
      <x:c r="E439" t="str">
        <x:v>Bay of Plenty</x:v>
      </x:c>
      <x:c r="F439" t="str">
        <x:v>Delivered</x:v>
      </x:c>
      <x:c r="G439" t="n">
        <x:v>8</x:v>
      </x:c>
      <x:c r="H439" t="n">
        <x:v>8</x:v>
      </x:c>
      <x:c r="I439" t="n">
        <x:v>0</x:v>
      </x:c>
      <x:c r="J439" t="n">
        <x:v>1612.88</x:v>
      </x:c>
      <x:c r="K439" t="n">
        <x:v>1063.2</x:v>
      </x:c>
      <x:c r="L439" t="n">
        <x:f>IFERROR(DATEVALUE(D439)-DATEVALUE(B439),"")</x:f>
        <x:v>5</x:v>
      </x:c>
      <x:c r="M439" t="n">
        <x:f>IFERROR(IF(AND(DATEVALUE(D439)&lt;=DATEVALUE(C439),I439=0),1,0),0)</x:f>
        <x:v>1</x:v>
      </x:c>
    </x:row>
    <x:row r="440">
      <x:c r="A440" t="str">
        <x:v>SO0000439</x:v>
      </x:c>
      <x:c r="B440" t="str">
        <x:v>2025-11-23</x:v>
      </x:c>
      <x:c r="C440" t="str">
        <x:v>2025-12-02</x:v>
      </x:c>
      <x:c r="D440"/>
      <x:c r="E440" t="str">
        <x:v>Auckland</x:v>
      </x:c>
      <x:c r="F440" t="str">
        <x:v>Open</x:v>
      </x:c>
      <x:c r="G440" t="n">
        <x:v>31</x:v>
      </x:c>
      <x:c r="H440" t="n">
        <x:v>0</x:v>
      </x:c>
      <x:c r="I440" t="n">
        <x:v>31</x:v>
      </x:c>
      <x:c r="J440" t="str">
        <x:v>0.0</x:v>
      </x:c>
      <x:c r="K440" t="str">
        <x:v>0.0</x:v>
      </x:c>
      <x:c r="L440" t="str">
        <x:f>IFERROR(DATEVALUE(D440)-DATEVALUE(B440),"")</x:f>
      </x:c>
      <x:c r="M440" t="n">
        <x:f>IFERROR(IF(AND(DATEVALUE(D440)&lt;=DATEVALUE(C440),I440=0),1,0),0)</x:f>
        <x:v>0</x:v>
      </x:c>
    </x:row>
    <x:row r="441">
      <x:c r="A441" t="str">
        <x:v>SO0000440</x:v>
      </x:c>
      <x:c r="B441" t="str">
        <x:v>2025-01-20</x:v>
      </x:c>
      <x:c r="C441" t="str">
        <x:v>2025-01-25</x:v>
      </x:c>
      <x:c r="D441" t="str">
        <x:v>2025-01-28</x:v>
      </x:c>
      <x:c r="E441" t="str">
        <x:v>Canterbury</x:v>
      </x:c>
      <x:c r="F441" t="str">
        <x:v>Partially Delivered</x:v>
      </x:c>
      <x:c r="G441" t="n">
        <x:v>16</x:v>
      </x:c>
      <x:c r="H441" t="n">
        <x:v>6</x:v>
      </x:c>
      <x:c r="I441" t="n">
        <x:v>10</x:v>
      </x:c>
      <x:c r="J441" t="n">
        <x:v>540.36</x:v>
      </x:c>
      <x:c r="K441" t="n">
        <x:v>392.8</x:v>
      </x:c>
      <x:c r="L441" t="n">
        <x:f>IFERROR(DATEVALUE(D441)-DATEVALUE(B441),"")</x:f>
        <x:v>8</x:v>
      </x:c>
      <x:c r="M441" t="n">
        <x:f>IFERROR(IF(AND(DATEVALUE(D441)&lt;=DATEVALUE(C441),I441=0),1,0),0)</x:f>
        <x:v>0</x:v>
      </x:c>
    </x:row>
    <x:row r="442">
      <x:c r="A442" t="str">
        <x:v>SO0000441</x:v>
      </x:c>
      <x:c r="B442" t="str">
        <x:v>2026-09-03</x:v>
      </x:c>
      <x:c r="C442" t="str">
        <x:v>2026-09-13</x:v>
      </x:c>
      <x:c r="D442" t="str">
        <x:v>2026-09-08</x:v>
      </x:c>
      <x:c r="E442" t="str">
        <x:v>Waikato</x:v>
      </x:c>
      <x:c r="F442" t="str">
        <x:v>Delivered</x:v>
      </x:c>
      <x:c r="G442" t="n">
        <x:v>36</x:v>
      </x:c>
      <x:c r="H442" t="n">
        <x:v>36</x:v>
      </x:c>
      <x:c r="I442" t="n">
        <x:v>0</x:v>
      </x:c>
      <x:c r="J442" t="n">
        <x:v>5625.24</x:v>
      </x:c>
      <x:c r="K442" t="n">
        <x:v>3718.72</x:v>
      </x:c>
      <x:c r="L442" t="n">
        <x:f>IFERROR(DATEVALUE(D442)-DATEVALUE(B442),"")</x:f>
        <x:v>5</x:v>
      </x:c>
      <x:c r="M442" t="n">
        <x:f>IFERROR(IF(AND(DATEVALUE(D442)&lt;=DATEVALUE(C442),I442=0),1,0),0)</x:f>
        <x:v>1</x:v>
      </x:c>
    </x:row>
    <x:row r="443">
      <x:c r="A443" t="str">
        <x:v>SO0000442</x:v>
      </x:c>
      <x:c r="B443" t="str">
        <x:v>2024-10-19</x:v>
      </x:c>
      <x:c r="C443" t="str">
        <x:v>2024-10-25</x:v>
      </x:c>
      <x:c r="D443" t="str">
        <x:v>2024-10-25</x:v>
      </x:c>
      <x:c r="E443" t="str">
        <x:v>Auckland</x:v>
      </x:c>
      <x:c r="F443" t="str">
        <x:v>Delivered</x:v>
      </x:c>
      <x:c r="G443" t="n">
        <x:v>18</x:v>
      </x:c>
      <x:c r="H443" t="n">
        <x:v>18</x:v>
      </x:c>
      <x:c r="I443" t="n">
        <x:v>0</x:v>
      </x:c>
      <x:c r="J443" t="n">
        <x:v>1479.3</x:v>
      </x:c>
      <x:c r="K443" t="n">
        <x:v>991.96</x:v>
      </x:c>
      <x:c r="L443" t="n">
        <x:f>IFERROR(DATEVALUE(D443)-DATEVALUE(B443),"")</x:f>
        <x:v>6</x:v>
      </x:c>
      <x:c r="M443" t="n">
        <x:f>IFERROR(IF(AND(DATEVALUE(D443)&lt;=DATEVALUE(C443),I443=0),1,0),0)</x:f>
        <x:v>1</x:v>
      </x:c>
    </x:row>
    <x:row r="444">
      <x:c r="A444" t="str">
        <x:v>SO0000443</x:v>
      </x:c>
      <x:c r="B444" t="str">
        <x:v>2025-12-08</x:v>
      </x:c>
      <x:c r="C444" t="str">
        <x:v>2025-12-16</x:v>
      </x:c>
      <x:c r="D444" t="str">
        <x:v>2025-12-16</x:v>
      </x:c>
      <x:c r="E444" t="str">
        <x:v>Auckland</x:v>
      </x:c>
      <x:c r="F444" t="str">
        <x:v>Delivered</x:v>
      </x:c>
      <x:c r="G444" t="n">
        <x:v>15</x:v>
      </x:c>
      <x:c r="H444" t="n">
        <x:v>15</x:v>
      </x:c>
      <x:c r="I444" t="n">
        <x:v>0</x:v>
      </x:c>
      <x:c r="J444" t="n">
        <x:v>1652</x:v>
      </x:c>
      <x:c r="K444" t="n">
        <x:v>1197.15</x:v>
      </x:c>
      <x:c r="L444" t="n">
        <x:f>IFERROR(DATEVALUE(D444)-DATEVALUE(B444),"")</x:f>
        <x:v>8</x:v>
      </x:c>
      <x:c r="M444" t="n">
        <x:f>IFERROR(IF(AND(DATEVALUE(D444)&lt;=DATEVALUE(C444),I444=0),1,0),0)</x:f>
        <x:v>1</x:v>
      </x:c>
    </x:row>
    <x:row r="445">
      <x:c r="A445" t="str">
        <x:v>SO0000444</x:v>
      </x:c>
      <x:c r="B445" t="str">
        <x:v>2025-10-10</x:v>
      </x:c>
      <x:c r="C445" t="str">
        <x:v>2025-10-21</x:v>
      </x:c>
      <x:c r="D445" t="str">
        <x:v>2025-10-15</x:v>
      </x:c>
      <x:c r="E445" t="str">
        <x:v>Waikato</x:v>
      </x:c>
      <x:c r="F445" t="str">
        <x:v>Delivered</x:v>
      </x:c>
      <x:c r="G445" t="n">
        <x:v>10</x:v>
      </x:c>
      <x:c r="H445" t="n">
        <x:v>10</x:v>
      </x:c>
      <x:c r="I445" t="n">
        <x:v>0</x:v>
      </x:c>
      <x:c r="J445" t="n">
        <x:v>964.9</x:v>
      </x:c>
      <x:c r="K445" t="n">
        <x:v>784.7</x:v>
      </x:c>
      <x:c r="L445" t="n">
        <x:f>IFERROR(DATEVALUE(D445)-DATEVALUE(B445),"")</x:f>
        <x:v>5</x:v>
      </x:c>
      <x:c r="M445" t="n">
        <x:f>IFERROR(IF(AND(DATEVALUE(D445)&lt;=DATEVALUE(C445),I445=0),1,0),0)</x:f>
        <x:v>1</x:v>
      </x:c>
    </x:row>
    <x:row r="446">
      <x:c r="A446" t="str">
        <x:v>SO0000445</x:v>
      </x:c>
      <x:c r="B446" t="str">
        <x:v>2025-07-16</x:v>
      </x:c>
      <x:c r="C446" t="str">
        <x:v>2025-07-21</x:v>
      </x:c>
      <x:c r="D446" t="str">
        <x:v>2025-07-22</x:v>
      </x:c>
      <x:c r="E446" t="str">
        <x:v>Waikato</x:v>
      </x:c>
      <x:c r="F446" t="str">
        <x:v>Partially Delivered</x:v>
      </x:c>
      <x:c r="G446" t="n">
        <x:v>19</x:v>
      </x:c>
      <x:c r="H446" t="n">
        <x:v>18</x:v>
      </x:c>
      <x:c r="I446" t="n">
        <x:v>1</x:v>
      </x:c>
      <x:c r="J446" t="n">
        <x:v>1105.86</x:v>
      </x:c>
      <x:c r="K446" t="n">
        <x:v>784.82</x:v>
      </x:c>
      <x:c r="L446" t="n">
        <x:f>IFERROR(DATEVALUE(D446)-DATEVALUE(B446),"")</x:f>
        <x:v>6</x:v>
      </x:c>
      <x:c r="M446" t="n">
        <x:f>IFERROR(IF(AND(DATEVALUE(D446)&lt;=DATEVALUE(C446),I446=0),1,0),0)</x:f>
        <x:v>0</x:v>
      </x:c>
    </x:row>
    <x:row r="447">
      <x:c r="A447" t="str">
        <x:v>SO0000446</x:v>
      </x:c>
      <x:c r="B447" t="str">
        <x:v>2025-09-04</x:v>
      </x:c>
      <x:c r="C447" t="str">
        <x:v>2025-09-09</x:v>
      </x:c>
      <x:c r="D447" t="str">
        <x:v>2025-09-11</x:v>
      </x:c>
      <x:c r="E447" t="str">
        <x:v>Wellington</x:v>
      </x:c>
      <x:c r="F447" t="str">
        <x:v>Delivered</x:v>
      </x:c>
      <x:c r="G447" t="n">
        <x:v>10</x:v>
      </x:c>
      <x:c r="H447" t="n">
        <x:v>10</x:v>
      </x:c>
      <x:c r="I447" t="n">
        <x:v>0</x:v>
      </x:c>
      <x:c r="J447" t="n">
        <x:v>414.85</x:v>
      </x:c>
      <x:c r="K447" t="n">
        <x:v>288.2</x:v>
      </x:c>
      <x:c r="L447" t="n">
        <x:f>IFERROR(DATEVALUE(D447)-DATEVALUE(B447),"")</x:f>
        <x:v>7</x:v>
      </x:c>
      <x:c r="M447" t="n">
        <x:f>IFERROR(IF(AND(DATEVALUE(D447)&lt;=DATEVALUE(C447),I447=0),1,0),0)</x:f>
        <x:v>0</x:v>
      </x:c>
    </x:row>
    <x:row r="448">
      <x:c r="A448" t="str">
        <x:v>SO0000447</x:v>
      </x:c>
      <x:c r="B448" t="str">
        <x:v>2024-12-25</x:v>
      </x:c>
      <x:c r="C448" t="str">
        <x:v>2025-01-03</x:v>
      </x:c>
      <x:c r="D448" t="str">
        <x:v>2024-12-30</x:v>
      </x:c>
      <x:c r="E448" t="str">
        <x:v>Auckland</x:v>
      </x:c>
      <x:c r="F448" t="str">
        <x:v>Delivered</x:v>
      </x:c>
      <x:c r="G448" t="n">
        <x:v>15</x:v>
      </x:c>
      <x:c r="H448" t="n">
        <x:v>15</x:v>
      </x:c>
      <x:c r="I448" t="n">
        <x:v>0</x:v>
      </x:c>
      <x:c r="J448" t="n">
        <x:v>2351.55</x:v>
      </x:c>
      <x:c r="K448" t="n">
        <x:v>1692.15</x:v>
      </x:c>
      <x:c r="L448" t="n">
        <x:f>IFERROR(DATEVALUE(D448)-DATEVALUE(B448),"")</x:f>
        <x:v>5</x:v>
      </x:c>
      <x:c r="M448" t="n">
        <x:f>IFERROR(IF(AND(DATEVALUE(D448)&lt;=DATEVALUE(C448),I448=0),1,0),0)</x:f>
        <x:v>1</x:v>
      </x:c>
    </x:row>
    <x:row r="449">
      <x:c r="A449" t="str">
        <x:v>SO0000448</x:v>
      </x:c>
      <x:c r="B449" t="str">
        <x:v>2024-12-04</x:v>
      </x:c>
      <x:c r="C449" t="str">
        <x:v>2024-12-14</x:v>
      </x:c>
      <x:c r="D449" t="str">
        <x:v>2024-12-07</x:v>
      </x:c>
      <x:c r="E449" t="str">
        <x:v>Canterbury</x:v>
      </x:c>
      <x:c r="F449" t="str">
        <x:v>Delivered</x:v>
      </x:c>
      <x:c r="G449" t="n">
        <x:v>26</x:v>
      </x:c>
      <x:c r="H449" t="n">
        <x:v>26</x:v>
      </x:c>
      <x:c r="I449" t="n">
        <x:v>0</x:v>
      </x:c>
      <x:c r="J449" t="n">
        <x:v>1130.27</x:v>
      </x:c>
      <x:c r="K449" t="n">
        <x:v>849.5</x:v>
      </x:c>
      <x:c r="L449" t="n">
        <x:f>IFERROR(DATEVALUE(D449)-DATEVALUE(B449),"")</x:f>
        <x:v>3</x:v>
      </x:c>
      <x:c r="M449" t="n">
        <x:f>IFERROR(IF(AND(DATEVALUE(D449)&lt;=DATEVALUE(C449),I449=0),1,0),0)</x:f>
        <x:v>1</x:v>
      </x:c>
    </x:row>
    <x:row r="450">
      <x:c r="A450" t="str">
        <x:v>SO0000449</x:v>
      </x:c>
      <x:c r="B450" t="str">
        <x:v>2026-05-26</x:v>
      </x:c>
      <x:c r="C450" t="str">
        <x:v>2026-06-01</x:v>
      </x:c>
      <x:c r="D450" t="str">
        <x:v>2026-05-29</x:v>
      </x:c>
      <x:c r="E450" t="str">
        <x:v>Waikato</x:v>
      </x:c>
      <x:c r="F450" t="str">
        <x:v>Delivered</x:v>
      </x:c>
      <x:c r="G450" t="n">
        <x:v>36</x:v>
      </x:c>
      <x:c r="H450" t="n">
        <x:v>36</x:v>
      </x:c>
      <x:c r="I450" t="n">
        <x:v>0</x:v>
      </x:c>
      <x:c r="J450" t="n">
        <x:v>3958.04</x:v>
      </x:c>
      <x:c r="K450" t="n">
        <x:v>3077.32</x:v>
      </x:c>
      <x:c r="L450" t="n">
        <x:f>IFERROR(DATEVALUE(D450)-DATEVALUE(B450),"")</x:f>
        <x:v>3</x:v>
      </x:c>
      <x:c r="M450" t="n">
        <x:f>IFERROR(IF(AND(DATEVALUE(D450)&lt;=DATEVALUE(C450),I450=0),1,0),0)</x:f>
        <x:v>1</x:v>
      </x:c>
    </x:row>
    <x:row r="451">
      <x:c r="A451" t="str">
        <x:v>SO0000450</x:v>
      </x:c>
      <x:c r="B451" t="str">
        <x:v>2025-08-27</x:v>
      </x:c>
      <x:c r="C451" t="str">
        <x:v>2025-09-05</x:v>
      </x:c>
      <x:c r="D451" t="str">
        <x:v>2025-09-02</x:v>
      </x:c>
      <x:c r="E451" t="str">
        <x:v>Waikato</x:v>
      </x:c>
      <x:c r="F451" t="str">
        <x:v>Partially Delivered</x:v>
      </x:c>
      <x:c r="G451" t="n">
        <x:v>45</x:v>
      </x:c>
      <x:c r="H451" t="n">
        <x:v>5</x:v>
      </x:c>
      <x:c r="I451" t="n">
        <x:v>40</x:v>
      </x:c>
      <x:c r="J451" t="n">
        <x:v>1000.65</x:v>
      </x:c>
      <x:c r="K451" t="n">
        <x:v>640.8</x:v>
      </x:c>
      <x:c r="L451" t="n">
        <x:f>IFERROR(DATEVALUE(D451)-DATEVALUE(B451),"")</x:f>
        <x:v>6</x:v>
      </x:c>
      <x:c r="M451" t="n">
        <x:f>IFERROR(IF(AND(DATEVALUE(D451)&lt;=DATEVALUE(C451),I451=0),1,0),0)</x:f>
        <x:v>0</x:v>
      </x:c>
    </x:row>
  </x:sheetData>
  <x:conditionalFormatting sqref="I2:I45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{8A61434A-77C5-7B93-1E7B-CF5AA1E6C1B5}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aacb772cf8644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A61434A-77C5-7B93-1E7B-CF5AA1E6C1B5}">
            <x14:dataBar gradient="1">
              <x14:cfvo type="min"/>
              <x14:cfvo type="max"/>
              <x14:fillColor rgb="FFA02B93"/>
            </x14:dataBar>
          </x14:cfRule>
          <xm:sqref>I2:I451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7" customHeight="1">
      <x:c r="A1" s="15" t="str">
        <x:v>ProductID</x:v>
      </x:c>
      <x:c r="B1" s="15" t="str">
        <x:v>OrderedQty</x:v>
      </x:c>
      <x:c r="C1" s="15" t="str">
        <x:v>ShippedQty</x:v>
      </x:c>
      <x:c r="D1" s="15" t="str">
        <x:v>UnitPriceNZD</x:v>
      </x:c>
      <x:c r="E1" s="15" t="str">
        <x:v>NetSalesNZD</x:v>
      </x:c>
      <x:c r="F1" s="15" t="str">
        <x:v>Category_VLOOKUP</x:v>
      </x:c>
      <x:c r="G1" s="15" t="str">
        <x:v>Category_INDEXMATCH</x:v>
      </x:c>
      <x:c r="H1" s="15" t="str">
        <x:v>SalesRecalc</x:v>
      </x:c>
      <x:c r="I1" s="15" t="str">
        <x:v>VarianceNZD</x:v>
      </x:c>
    </x:row>
    <x:row r="2">
      <x:c r="A2" t="str">
        <x:v>P0195</x:v>
      </x:c>
      <x:c r="B2" t="n">
        <x:v>10</x:v>
      </x:c>
      <x:c r="C2" t="n">
        <x:v>10</x:v>
      </x:c>
      <x:c r="D2" t="n">
        <x:v>30.34</x:v>
      </x:c>
      <x:c r="E2" t="n">
        <x:v>303.4</x:v>
      </x:c>
      <x:c r="F2" t="str">
        <x:f>IFERROR(VLOOKUP(A2,Product_Dim!$A$2:$D$481,4,FALSE),"Missing")</x:f>
        <x:v>Household</x:v>
      </x:c>
      <x:c r="G2" t="str">
        <x:f>IFERROR(INDEX(Product_Dim!$D$2:$D$481,MATCH(A2,Product_Dim!$A$2:$A$481,0)),"Missing")</x:f>
        <x:v>Household</x:v>
      </x:c>
      <x:c r="H2" t="n">
        <x:f>C2*D2</x:f>
        <x:v>303.4</x:v>
      </x:c>
      <x:c r="I2" t="n">
        <x:f>E2-H2</x:f>
        <x:v>0</x:v>
      </x:c>
    </x:row>
    <x:row r="3">
      <x:c r="A3" t="str">
        <x:v>P0083</x:v>
      </x:c>
      <x:c r="B3" t="n">
        <x:v>30</x:v>
      </x:c>
      <x:c r="C3" t="n">
        <x:v>30</x:v>
      </x:c>
      <x:c r="D3" t="n">
        <x:v>53.37</x:v>
      </x:c>
      <x:c r="E3" t="n">
        <x:v>1601.1</x:v>
      </x:c>
      <x:c r="F3" t="str">
        <x:f>IFERROR(VLOOKUP(A3,Product_Dim!$A$2:$D$481,4,FALSE),"Missing")</x:f>
        <x:v>Household</x:v>
      </x:c>
      <x:c r="G3" t="str">
        <x:f>IFERROR(INDEX(Product_Dim!$D$2:$D$481,MATCH(A3,Product_Dim!$A$2:$A$481,0)),"Missing")</x:f>
        <x:v>Household</x:v>
      </x:c>
      <x:c r="H3" t="n">
        <x:f>C3*D3</x:f>
        <x:v>1601.1</x:v>
      </x:c>
      <x:c r="I3" t="n">
        <x:f>E3-H3</x:f>
        <x:v>0</x:v>
      </x:c>
    </x:row>
    <x:row r="4">
      <x:c r="A4" t="str">
        <x:v>P0058</x:v>
      </x:c>
      <x:c r="B4" t="n">
        <x:v>3</x:v>
      </x:c>
      <x:c r="C4" t="n">
        <x:v>3</x:v>
      </x:c>
      <x:c r="D4" t="n">
        <x:v>87.33</x:v>
      </x:c>
      <x:c r="E4" t="n">
        <x:v>261.99</x:v>
      </x:c>
      <x:c r="F4" t="str">
        <x:f>IFERROR(VLOOKUP(A4,Product_Dim!$A$2:$D$481,4,FALSE),"Missing")</x:f>
        <x:v>Dry Grocery</x:v>
      </x:c>
      <x:c r="G4" t="str">
        <x:f>IFERROR(INDEX(Product_Dim!$D$2:$D$481,MATCH(A4,Product_Dim!$A$2:$A$481,0)),"Missing")</x:f>
        <x:v>Dry Grocery</x:v>
      </x:c>
      <x:c r="H4" t="n">
        <x:f>C4*D4</x:f>
        <x:v>261.99</x:v>
      </x:c>
      <x:c r="I4" t="n">
        <x:f>E4-H4</x:f>
        <x:v>0</x:v>
      </x:c>
    </x:row>
    <x:row r="5">
      <x:c r="A5" t="str">
        <x:v>P0042</x:v>
      </x:c>
      <x:c r="B5" t="n">
        <x:v>30</x:v>
      </x:c>
      <x:c r="C5" t="n">
        <x:v>30</x:v>
      </x:c>
      <x:c r="D5" t="n">
        <x:v>174.35</x:v>
      </x:c>
      <x:c r="E5" t="n">
        <x:v>5230.5</x:v>
      </x:c>
      <x:c r="F5" t="str">
        <x:f>IFERROR(VLOOKUP(A5,Product_Dim!$A$2:$D$481,4,FALSE),"Missing")</x:f>
        <x:v>Dry Grocery</x:v>
      </x:c>
      <x:c r="G5" t="str">
        <x:f>IFERROR(INDEX(Product_Dim!$D$2:$D$481,MATCH(A5,Product_Dim!$A$2:$A$481,0)),"Missing")</x:f>
        <x:v>Dry Grocery</x:v>
      </x:c>
      <x:c r="H5" t="n">
        <x:f>C5*D5</x:f>
        <x:v>5230.5</x:v>
      </x:c>
      <x:c r="I5" t="n">
        <x:f>E5-H5</x:f>
        <x:v>0</x:v>
      </x:c>
    </x:row>
    <x:row r="6">
      <x:c r="A6" t="str">
        <x:v>P0056</x:v>
      </x:c>
      <x:c r="B6" t="n">
        <x:v>20</x:v>
      </x:c>
      <x:c r="C6" t="n">
        <x:v>20</x:v>
      </x:c>
      <x:c r="D6" t="n">
        <x:v>201.61</x:v>
      </x:c>
      <x:c r="E6" t="n">
        <x:v>4032.2</x:v>
      </x:c>
      <x:c r="F6" t="str">
        <x:f>IFERROR(VLOOKUP(A6,Product_Dim!$A$2:$D$481,4,FALSE),"Missing")</x:f>
        <x:v>Cleaning</x:v>
      </x:c>
      <x:c r="G6" t="str">
        <x:f>IFERROR(INDEX(Product_Dim!$D$2:$D$481,MATCH(A6,Product_Dim!$A$2:$A$481,0)),"Missing")</x:f>
        <x:v>Cleaning</x:v>
      </x:c>
      <x:c r="H6" t="n">
        <x:f>C6*D6</x:f>
        <x:v>4032.2000000000003</x:v>
      </x:c>
      <x:c r="I6" t="n">
        <x:f>E6-H6</x:f>
        <x:v>-4.547473508864641e-13</x:v>
      </x:c>
    </x:row>
    <x:row r="7">
      <x:c r="A7" t="str">
        <x:v>P0381</x:v>
      </x:c>
      <x:c r="B7" t="n">
        <x:v>8</x:v>
      </x:c>
      <x:c r="C7" t="n">
        <x:v>8</x:v>
      </x:c>
      <x:c r="D7" t="n">
        <x:v>98.35</x:v>
      </x:c>
      <x:c r="E7" t="n">
        <x:v>786.8</x:v>
      </x:c>
      <x:c r="F7" t="str">
        <x:f>IFERROR(VLOOKUP(A7,Product_Dim!$A$2:$D$481,4,FALSE),"Missing")</x:f>
        <x:v>Packaging</x:v>
      </x:c>
      <x:c r="G7" t="str">
        <x:f>IFERROR(INDEX(Product_Dim!$D$2:$D$481,MATCH(A7,Product_Dim!$A$2:$A$481,0)),"Missing")</x:f>
        <x:v>Packaging</x:v>
      </x:c>
      <x:c r="H7" t="n">
        <x:f>C7*D7</x:f>
        <x:v>786.8</x:v>
      </x:c>
      <x:c r="I7" t="n">
        <x:f>E7-H7</x:f>
        <x:v>0</x:v>
      </x:c>
    </x:row>
    <x:row r="8">
      <x:c r="A8" t="str">
        <x:v>P0222</x:v>
      </x:c>
      <x:c r="B8" t="n">
        <x:v>3</x:v>
      </x:c>
      <x:c r="C8" t="n">
        <x:v>3</x:v>
      </x:c>
      <x:c r="D8" t="n">
        <x:v>156.28</x:v>
      </x:c>
      <x:c r="E8" t="n">
        <x:v>468.84</x:v>
      </x:c>
      <x:c r="F8" t="str">
        <x:f>IFERROR(VLOOKUP(A8,Product_Dim!$A$2:$D$481,4,FALSE),"Missing")</x:f>
        <x:v>Hardware</x:v>
      </x:c>
      <x:c r="G8" t="str">
        <x:f>IFERROR(INDEX(Product_Dim!$D$2:$D$481,MATCH(A8,Product_Dim!$A$2:$A$481,0)),"Missing")</x:f>
        <x:v>Hardware</x:v>
      </x:c>
      <x:c r="H8" t="n">
        <x:f>C8*D8</x:f>
        <x:v>468.84000000000003</x:v>
      </x:c>
      <x:c r="I8" t="n">
        <x:f>E8-H8</x:f>
        <x:v>-5.684341886080802e-14</x:v>
      </x:c>
    </x:row>
    <x:row r="9">
      <x:c r="A9" t="str">
        <x:v>P0283</x:v>
      </x:c>
      <x:c r="B9" t="n">
        <x:v>3</x:v>
      </x:c>
      <x:c r="C9" t="n">
        <x:v>3</x:v>
      </x:c>
      <x:c r="D9" t="n">
        <x:v>154.78</x:v>
      </x:c>
      <x:c r="E9" t="n">
        <x:v>464.34</x:v>
      </x:c>
      <x:c r="F9" t="str">
        <x:f>IFERROR(VLOOKUP(A9,Product_Dim!$A$2:$D$481,4,FALSE),"Missing")</x:f>
        <x:v>Household</x:v>
      </x:c>
      <x:c r="G9" t="str">
        <x:f>IFERROR(INDEX(Product_Dim!$D$2:$D$481,MATCH(A9,Product_Dim!$A$2:$A$481,0)),"Missing")</x:f>
        <x:v>Household</x:v>
      </x:c>
      <x:c r="H9" t="n">
        <x:f>C9*D9</x:f>
        <x:v>464.34000000000003</x:v>
      </x:c>
      <x:c r="I9" t="n">
        <x:f>E9-H9</x:f>
        <x:v>-5.684341886080802e-14</x:v>
      </x:c>
    </x:row>
    <x:row r="10">
      <x:c r="A10" t="str">
        <x:v>P0343</x:v>
      </x:c>
      <x:c r="B10" t="n">
        <x:v>15</x:v>
      </x:c>
      <x:c r="C10" t="n">
        <x:v>15</x:v>
      </x:c>
      <x:c r="D10" t="n">
        <x:v>216.38</x:v>
      </x:c>
      <x:c r="E10" t="n">
        <x:v>3245.7</x:v>
      </x:c>
      <x:c r="F10" t="str">
        <x:f>IFERROR(VLOOKUP(A10,Product_Dim!$A$2:$D$481,4,FALSE),"Missing")</x:f>
        <x:v>Electrical</x:v>
      </x:c>
      <x:c r="G10" t="str">
        <x:f>IFERROR(INDEX(Product_Dim!$D$2:$D$481,MATCH(A10,Product_Dim!$A$2:$A$481,0)),"Missing")</x:f>
        <x:v>Electrical</x:v>
      </x:c>
      <x:c r="H10" t="n">
        <x:f>C10*D10</x:f>
        <x:v>3245.7</x:v>
      </x:c>
      <x:c r="I10" t="n">
        <x:f>E10-H10</x:f>
        <x:v>0</x:v>
      </x:c>
    </x:row>
    <x:row r="11">
      <x:c r="A11" t="str">
        <x:v>P0439</x:v>
      </x:c>
      <x:c r="B11" t="n">
        <x:v>20</x:v>
      </x:c>
      <x:c r="C11" t="n">
        <x:v>20</x:v>
      </x:c>
      <x:c r="D11" t="n">
        <x:v>168.93</x:v>
      </x:c>
      <x:c r="E11" t="n">
        <x:v>3378.6</x:v>
      </x:c>
      <x:c r="F11" t="str">
        <x:f>IFERROR(VLOOKUP(A11,Product_Dim!$A$2:$D$481,4,FALSE),"Missing")</x:f>
        <x:v>Electrical</x:v>
      </x:c>
      <x:c r="G11" t="str">
        <x:f>IFERROR(INDEX(Product_Dim!$D$2:$D$481,MATCH(A11,Product_Dim!$A$2:$A$481,0)),"Missing")</x:f>
        <x:v>Electrical</x:v>
      </x:c>
      <x:c r="H11" t="n">
        <x:f>C11*D11</x:f>
        <x:v>3378.6000000000004</x:v>
      </x:c>
      <x:c r="I11" t="n">
        <x:f>E11-H11</x:f>
        <x:v>-4.547473508864641e-13</x:v>
      </x:c>
    </x:row>
    <x:row r="12">
      <x:c r="A12" t="str">
        <x:v>P0203</x:v>
      </x:c>
      <x:c r="B12" t="n">
        <x:v>5</x:v>
      </x:c>
      <x:c r="C12" t="n">
        <x:v>5</x:v>
      </x:c>
      <x:c r="D12" t="n">
        <x:v>163.69</x:v>
      </x:c>
      <x:c r="E12" t="n">
        <x:v>818.45</x:v>
      </x:c>
      <x:c r="F12" t="str">
        <x:f>IFERROR(VLOOKUP(A12,Product_Dim!$A$2:$D$481,4,FALSE),"Missing")</x:f>
        <x:v>Household</x:v>
      </x:c>
      <x:c r="G12" t="str">
        <x:f>IFERROR(INDEX(Product_Dim!$D$2:$D$481,MATCH(A12,Product_Dim!$A$2:$A$481,0)),"Missing")</x:f>
        <x:v>Household</x:v>
      </x:c>
      <x:c r="H12" t="n">
        <x:f>C12*D12</x:f>
        <x:v>818.45</x:v>
      </x:c>
      <x:c r="I12" t="n">
        <x:f>E12-H12</x:f>
        <x:v>0</x:v>
      </x:c>
    </x:row>
    <x:row r="13">
      <x:c r="A13" t="str">
        <x:v>P0152</x:v>
      </x:c>
      <x:c r="B13" t="n">
        <x:v>10</x:v>
      </x:c>
      <x:c r="C13" t="n">
        <x:v>10</x:v>
      </x:c>
      <x:c r="D13" t="n">
        <x:v>73.94</x:v>
      </x:c>
      <x:c r="E13" t="n">
        <x:v>739.4</x:v>
      </x:c>
      <x:c r="F13" t="str">
        <x:f>IFERROR(VLOOKUP(A13,Product_Dim!$A$2:$D$481,4,FALSE),"Missing")</x:f>
        <x:v>Cleaning</x:v>
      </x:c>
      <x:c r="G13" t="str">
        <x:f>IFERROR(INDEX(Product_Dim!$D$2:$D$481,MATCH(A13,Product_Dim!$A$2:$A$481,0)),"Missing")</x:f>
        <x:v>Cleaning</x:v>
      </x:c>
      <x:c r="H13" t="n">
        <x:f>C13*D13</x:f>
        <x:v>739.4</x:v>
      </x:c>
      <x:c r="I13" t="n">
        <x:f>E13-H13</x:f>
        <x:v>0</x:v>
      </x:c>
    </x:row>
    <x:row r="14">
      <x:c r="A14" t="str">
        <x:v>P0171</x:v>
      </x:c>
      <x:c r="B14" t="n">
        <x:v>20</x:v>
      </x:c>
      <x:c r="C14" t="n">
        <x:v>20</x:v>
      </x:c>
      <x:c r="D14" t="n">
        <x:v>169.54</x:v>
      </x:c>
      <x:c r="E14" t="n">
        <x:v>3390.8</x:v>
      </x:c>
      <x:c r="F14" t="str">
        <x:f>IFERROR(VLOOKUP(A14,Product_Dim!$A$2:$D$481,4,FALSE),"Missing")</x:f>
        <x:v>Household</x:v>
      </x:c>
      <x:c r="G14" t="str">
        <x:f>IFERROR(INDEX(Product_Dim!$D$2:$D$481,MATCH(A14,Product_Dim!$A$2:$A$481,0)),"Missing")</x:f>
        <x:v>Household</x:v>
      </x:c>
      <x:c r="H14" t="n">
        <x:f>C14*D14</x:f>
        <x:v>3390.7999999999997</x:v>
      </x:c>
      <x:c r="I14" t="n">
        <x:f>E14-H14</x:f>
        <x:v>4.547473508864641e-13</x:v>
      </x:c>
    </x:row>
    <x:row r="15">
      <x:c r="A15" t="str">
        <x:v>P0304</x:v>
      </x:c>
      <x:c r="B15" t="n">
        <x:v>10</x:v>
      </x:c>
      <x:c r="C15" t="n">
        <x:v>10</x:v>
      </x:c>
      <x:c r="D15" t="n">
        <x:v>65.43</x:v>
      </x:c>
      <x:c r="E15" t="n">
        <x:v>654.3</x:v>
      </x:c>
      <x:c r="F15" t="str">
        <x:f>IFERROR(VLOOKUP(A15,Product_Dim!$A$2:$D$481,4,FALSE),"Missing")</x:f>
        <x:v>Cleaning</x:v>
      </x:c>
      <x:c r="G15" t="str">
        <x:f>IFERROR(INDEX(Product_Dim!$D$2:$D$481,MATCH(A15,Product_Dim!$A$2:$A$481,0)),"Missing")</x:f>
        <x:v>Cleaning</x:v>
      </x:c>
      <x:c r="H15" t="n">
        <x:f>C15*D15</x:f>
        <x:v>654.3000000000001</x:v>
      </x:c>
      <x:c r="I15" t="n">
        <x:f>E15-H15</x:f>
        <x:v>-1.1368683772161603e-13</x:v>
      </x:c>
    </x:row>
    <x:row r="16">
      <x:c r="A16" t="str">
        <x:v>P0051</x:v>
      </x:c>
      <x:c r="B16" t="n">
        <x:v>20</x:v>
      </x:c>
      <x:c r="C16" t="n">
        <x:v>20</x:v>
      </x:c>
      <x:c r="D16" t="n">
        <x:v>171.16</x:v>
      </x:c>
      <x:c r="E16" t="n">
        <x:v>3423.2</x:v>
      </x:c>
      <x:c r="F16" t="str">
        <x:f>IFERROR(VLOOKUP(A16,Product_Dim!$A$2:$D$481,4,FALSE),"Missing")</x:f>
        <x:v>Household</x:v>
      </x:c>
      <x:c r="G16" t="str">
        <x:f>IFERROR(INDEX(Product_Dim!$D$2:$D$481,MATCH(A16,Product_Dim!$A$2:$A$481,0)),"Missing")</x:f>
        <x:v>Household</x:v>
      </x:c>
      <x:c r="H16" t="n">
        <x:f>C16*D16</x:f>
        <x:v>3423.2</x:v>
      </x:c>
      <x:c r="I16" t="n">
        <x:f>E16-H16</x:f>
        <x:v>0</x:v>
      </x:c>
    </x:row>
    <x:row r="17">
      <x:c r="A17" t="str">
        <x:v>P0245</x:v>
      </x:c>
      <x:c r="B17" t="n">
        <x:v>15</x:v>
      </x:c>
      <x:c r="C17" t="n">
        <x:v>15</x:v>
      </x:c>
      <x:c r="D17" t="n">
        <x:v>127.32</x:v>
      </x:c>
      <x:c r="E17" t="n">
        <x:v>1909.8</x:v>
      </x:c>
      <x:c r="F17" t="str">
        <x:f>IFERROR(VLOOKUP(A17,Product_Dim!$A$2:$D$481,4,FALSE),"Missing")</x:f>
        <x:v>Packaging</x:v>
      </x:c>
      <x:c r="G17" t="str">
        <x:f>IFERROR(INDEX(Product_Dim!$D$2:$D$481,MATCH(A17,Product_Dim!$A$2:$A$481,0)),"Missing")</x:f>
        <x:v>Packaging</x:v>
      </x:c>
      <x:c r="H17" t="n">
        <x:f>C17*D17</x:f>
        <x:v>1909.8</x:v>
      </x:c>
      <x:c r="I17" t="n">
        <x:f>E17-H17</x:f>
        <x:v>0</x:v>
      </x:c>
    </x:row>
    <x:row r="18">
      <x:c r="A18" t="str">
        <x:v>P0178</x:v>
      </x:c>
      <x:c r="B18" t="n">
        <x:v>30</x:v>
      </x:c>
      <x:c r="C18" t="n">
        <x:v>30</x:v>
      </x:c>
      <x:c r="D18" t="n">
        <x:v>20.58</x:v>
      </x:c>
      <x:c r="E18" t="n">
        <x:v>617.4</x:v>
      </x:c>
      <x:c r="F18" t="str">
        <x:f>IFERROR(VLOOKUP(A18,Product_Dim!$A$2:$D$481,4,FALSE),"Missing")</x:f>
        <x:v>Dry Grocery</x:v>
      </x:c>
      <x:c r="G18" t="str">
        <x:f>IFERROR(INDEX(Product_Dim!$D$2:$D$481,MATCH(A18,Product_Dim!$A$2:$A$481,0)),"Missing")</x:f>
        <x:v>Dry Grocery</x:v>
      </x:c>
      <x:c r="H18" t="n">
        <x:f>C18*D18</x:f>
        <x:v>617.4</x:v>
      </x:c>
      <x:c r="I18" t="n">
        <x:f>E18-H18</x:f>
        <x:v>0</x:v>
      </x:c>
    </x:row>
    <x:row r="19">
      <x:c r="A19" t="str">
        <x:v>P0284</x:v>
      </x:c>
      <x:c r="B19" t="n">
        <x:v>3</x:v>
      </x:c>
      <x:c r="C19" t="n">
        <x:v>3</x:v>
      </x:c>
      <x:c r="D19" t="n">
        <x:v>184.15</x:v>
      </x:c>
      <x:c r="E19" t="n">
        <x:v>552.45</x:v>
      </x:c>
      <x:c r="F19" t="str">
        <x:f>IFERROR(VLOOKUP(A19,Product_Dim!$A$2:$D$481,4,FALSE),"Missing")</x:f>
        <x:v>Personal Care</x:v>
      </x:c>
      <x:c r="G19" t="str">
        <x:f>IFERROR(INDEX(Product_Dim!$D$2:$D$481,MATCH(A19,Product_Dim!$A$2:$A$481,0)),"Missing")</x:f>
        <x:v>Personal Care</x:v>
      </x:c>
      <x:c r="H19" t="n">
        <x:f>C19*D19</x:f>
        <x:v>552.45</x:v>
      </x:c>
      <x:c r="I19" t="n">
        <x:f>E19-H19</x:f>
        <x:v>0</x:v>
      </x:c>
    </x:row>
    <x:row r="20">
      <x:c r="A20" t="str">
        <x:v>P0096</x:v>
      </x:c>
      <x:c r="B20" t="n">
        <x:v>5</x:v>
      </x:c>
      <x:c r="C20" t="n">
        <x:v>5</x:v>
      </x:c>
      <x:c r="D20" t="n">
        <x:v>167.13</x:v>
      </x:c>
      <x:c r="E20" t="n">
        <x:v>835.65</x:v>
      </x:c>
      <x:c r="F20" t="str">
        <x:f>IFERROR(VLOOKUP(A20,Product_Dim!$A$2:$D$481,4,FALSE),"Missing")</x:f>
        <x:v>Cleaning</x:v>
      </x:c>
      <x:c r="G20" t="str">
        <x:f>IFERROR(INDEX(Product_Dim!$D$2:$D$481,MATCH(A20,Product_Dim!$A$2:$A$481,0)),"Missing")</x:f>
        <x:v>Cleaning</x:v>
      </x:c>
      <x:c r="H20" t="n">
        <x:f>C20*D20</x:f>
        <x:v>835.65</x:v>
      </x:c>
      <x:c r="I20" t="n">
        <x:f>E20-H20</x:f>
        <x:v>0</x:v>
      </x:c>
    </x:row>
    <x:row r="21">
      <x:c r="A21" t="str">
        <x:v>P0124</x:v>
      </x:c>
      <x:c r="B21" t="n">
        <x:v>40</x:v>
      </x:c>
      <x:c r="C21" t="n">
        <x:v>40</x:v>
      </x:c>
      <x:c r="D21" t="n">
        <x:v>60.12</x:v>
      </x:c>
      <x:c r="E21" t="n">
        <x:v>2404.8</x:v>
      </x:c>
      <x:c r="F21" t="str">
        <x:f>IFERROR(VLOOKUP(A21,Product_Dim!$A$2:$D$481,4,FALSE),"Missing")</x:f>
        <x:v>Personal Care</x:v>
      </x:c>
      <x:c r="G21" t="str">
        <x:f>IFERROR(INDEX(Product_Dim!$D$2:$D$481,MATCH(A21,Product_Dim!$A$2:$A$481,0)),"Missing")</x:f>
        <x:v>Personal Care</x:v>
      </x:c>
      <x:c r="H21" t="n">
        <x:f>C21*D21</x:f>
        <x:v>2404.7999999999997</x:v>
      </x:c>
      <x:c r="I21" t="n">
        <x:f>E21-H21</x:f>
        <x:v>4.547473508864641e-13</x:v>
      </x:c>
    </x:row>
    <x:row r="22">
      <x:c r="A22" t="str">
        <x:v>P0030</x:v>
      </x:c>
      <x:c r="B22" t="n">
        <x:v>15</x:v>
      </x:c>
      <x:c r="C22" t="n">
        <x:v>15</x:v>
      </x:c>
      <x:c r="D22" t="n">
        <x:v>26.07</x:v>
      </x:c>
      <x:c r="E22" t="n">
        <x:v>391.05</x:v>
      </x:c>
      <x:c r="F22" t="str">
        <x:f>IFERROR(VLOOKUP(A22,Product_Dim!$A$2:$D$481,4,FALSE),"Missing")</x:f>
        <x:v>Hardware</x:v>
      </x:c>
      <x:c r="G22" t="str">
        <x:f>IFERROR(INDEX(Product_Dim!$D$2:$D$481,MATCH(A22,Product_Dim!$A$2:$A$481,0)),"Missing")</x:f>
        <x:v>Hardware</x:v>
      </x:c>
      <x:c r="H22" t="n">
        <x:f>C22*D22</x:f>
        <x:v>391.05</x:v>
      </x:c>
      <x:c r="I22" t="n">
        <x:f>E22-H22</x:f>
        <x:v>0</x:v>
      </x:c>
    </x:row>
    <x:row r="23">
      <x:c r="A23" t="str">
        <x:v>P0008</x:v>
      </x:c>
      <x:c r="B23" t="n">
        <x:v>10</x:v>
      </x:c>
      <x:c r="C23" t="n">
        <x:v>0</x:v>
      </x:c>
      <x:c r="D23" t="n">
        <x:v>163.99</x:v>
      </x:c>
      <x:c r="E23" t="str">
        <x:v>0.0</x:v>
      </x:c>
      <x:c r="F23" t="str">
        <x:f>IFERROR(VLOOKUP(A23,Product_Dim!$A$2:$D$481,4,FALSE),"Missing")</x:f>
        <x:v>Cleaning</x:v>
      </x:c>
      <x:c r="G23" t="str">
        <x:f>IFERROR(INDEX(Product_Dim!$D$2:$D$481,MATCH(A23,Product_Dim!$A$2:$A$481,0)),"Missing")</x:f>
        <x:v>Cleaning</x:v>
      </x:c>
      <x:c r="H23" t="n">
        <x:f>C23*D23</x:f>
        <x:v>0</x:v>
      </x:c>
      <x:c r="I23" t="n">
        <x:f>E23-H23</x:f>
        <x:v>0</x:v>
      </x:c>
    </x:row>
    <x:row r="24">
      <x:c r="A24" t="str">
        <x:v>P0102</x:v>
      </x:c>
      <x:c r="B24" t="n">
        <x:v>8</x:v>
      </x:c>
      <x:c r="C24" t="n">
        <x:v>8</x:v>
      </x:c>
      <x:c r="D24" t="n">
        <x:v>45.54</x:v>
      </x:c>
      <x:c r="E24" t="n">
        <x:v>364.32</x:v>
      </x:c>
      <x:c r="F24" t="str">
        <x:f>IFERROR(VLOOKUP(A24,Product_Dim!$A$2:$D$481,4,FALSE),"Missing")</x:f>
        <x:v>Hardware</x:v>
      </x:c>
      <x:c r="G24" t="str">
        <x:f>IFERROR(INDEX(Product_Dim!$D$2:$D$481,MATCH(A24,Product_Dim!$A$2:$A$481,0)),"Missing")</x:f>
        <x:v>Hardware</x:v>
      </x:c>
      <x:c r="H24" t="n">
        <x:f>C24*D24</x:f>
        <x:v>364.32</x:v>
      </x:c>
      <x:c r="I24" t="n">
        <x:f>E24-H24</x:f>
        <x:v>0</x:v>
      </x:c>
    </x:row>
    <x:row r="25">
      <x:c r="A25" t="str">
        <x:v>P0148</x:v>
      </x:c>
      <x:c r="B25" t="n">
        <x:v>15</x:v>
      </x:c>
      <x:c r="C25" t="n">
        <x:v>15</x:v>
      </x:c>
      <x:c r="D25" t="n">
        <x:v>11.37</x:v>
      </x:c>
      <x:c r="E25" t="n">
        <x:v>170.55</x:v>
      </x:c>
      <x:c r="F25" t="str">
        <x:f>IFERROR(VLOOKUP(A25,Product_Dim!$A$2:$D$481,4,FALSE),"Missing")</x:f>
        <x:v>Personal Care</x:v>
      </x:c>
      <x:c r="G25" t="str">
        <x:f>IFERROR(INDEX(Product_Dim!$D$2:$D$481,MATCH(A25,Product_Dim!$A$2:$A$481,0)),"Missing")</x:f>
        <x:v>Personal Care</x:v>
      </x:c>
      <x:c r="H25" t="n">
        <x:f>C25*D25</x:f>
        <x:v>170.54999999999998</x:v>
      </x:c>
      <x:c r="I25" t="n">
        <x:f>E25-H25</x:f>
        <x:v>2.842170943040401e-14</x:v>
      </x:c>
    </x:row>
    <x:row r="26">
      <x:c r="A26" t="str">
        <x:v>P0173</x:v>
      </x:c>
      <x:c r="B26" t="n">
        <x:v>20</x:v>
      </x:c>
      <x:c r="C26" t="n">
        <x:v>20</x:v>
      </x:c>
      <x:c r="D26" t="n">
        <x:v>202.25</x:v>
      </x:c>
      <x:c r="E26" t="n">
        <x:v>4045</x:v>
      </x:c>
      <x:c r="F26" t="str">
        <x:f>IFERROR(VLOOKUP(A26,Product_Dim!$A$2:$D$481,4,FALSE),"Missing")</x:f>
        <x:v>Packaging</x:v>
      </x:c>
      <x:c r="G26" t="str">
        <x:f>IFERROR(INDEX(Product_Dim!$D$2:$D$481,MATCH(A26,Product_Dim!$A$2:$A$481,0)),"Missing")</x:f>
        <x:v>Packaging</x:v>
      </x:c>
      <x:c r="H26" t="n">
        <x:f>C26*D26</x:f>
        <x:v>4045</x:v>
      </x:c>
      <x:c r="I26" t="n">
        <x:f>E26-H26</x:f>
        <x:v>0</x:v>
      </x:c>
    </x:row>
    <x:row r="27">
      <x:c r="A27" t="str">
        <x:v>P0049</x:v>
      </x:c>
      <x:c r="B27" t="n">
        <x:v>30</x:v>
      </x:c>
      <x:c r="C27" t="n">
        <x:v>20</x:v>
      </x:c>
      <x:c r="D27" t="n">
        <x:v>72.67</x:v>
      </x:c>
      <x:c r="E27" t="n">
        <x:v>1453.4</x:v>
      </x:c>
      <x:c r="F27" t="str">
        <x:f>IFERROR(VLOOKUP(A27,Product_Dim!$A$2:$D$481,4,FALSE),"Missing")</x:f>
        <x:v>Beverages</x:v>
      </x:c>
      <x:c r="G27" t="str">
        <x:f>IFERROR(INDEX(Product_Dim!$D$2:$D$481,MATCH(A27,Product_Dim!$A$2:$A$481,0)),"Missing")</x:f>
        <x:v>Beverages</x:v>
      </x:c>
      <x:c r="H27" t="n">
        <x:f>C27*D27</x:f>
        <x:v>1453.4</x:v>
      </x:c>
      <x:c r="I27" t="n">
        <x:f>E27-H27</x:f>
        <x:v>0</x:v>
      </x:c>
    </x:row>
    <x:row r="28">
      <x:c r="A28" t="str">
        <x:v>P0026</x:v>
      </x:c>
      <x:c r="B28" t="n">
        <x:v>3</x:v>
      </x:c>
      <x:c r="C28" t="n">
        <x:v>3</x:v>
      </x:c>
      <x:c r="D28" t="n">
        <x:v>135.01</x:v>
      </x:c>
      <x:c r="E28" t="n">
        <x:v>405.03</x:v>
      </x:c>
      <x:c r="F28" t="str">
        <x:f>IFERROR(VLOOKUP(A28,Product_Dim!$A$2:$D$481,4,FALSE),"Missing")</x:f>
        <x:v>Dry Grocery</x:v>
      </x:c>
      <x:c r="G28" t="str">
        <x:f>IFERROR(INDEX(Product_Dim!$D$2:$D$481,MATCH(A28,Product_Dim!$A$2:$A$481,0)),"Missing")</x:f>
        <x:v>Dry Grocery</x:v>
      </x:c>
      <x:c r="H28" t="n">
        <x:f>C28*D28</x:f>
        <x:v>405.03</x:v>
      </x:c>
      <x:c r="I28" t="n">
        <x:f>E28-H28</x:f>
        <x:v>0</x:v>
      </x:c>
    </x:row>
    <x:row r="29">
      <x:c r="A29" t="str">
        <x:v>P0150</x:v>
      </x:c>
      <x:c r="B29" t="n">
        <x:v>5</x:v>
      </x:c>
      <x:c r="C29" t="n">
        <x:v>5</x:v>
      </x:c>
      <x:c r="D29" t="n">
        <x:v>177.9</x:v>
      </x:c>
      <x:c r="E29" t="n">
        <x:v>889.5</x:v>
      </x:c>
      <x:c r="F29" t="str">
        <x:f>IFERROR(VLOOKUP(A29,Product_Dim!$A$2:$D$481,4,FALSE),"Missing")</x:f>
        <x:v>Hardware</x:v>
      </x:c>
      <x:c r="G29" t="str">
        <x:f>IFERROR(INDEX(Product_Dim!$D$2:$D$481,MATCH(A29,Product_Dim!$A$2:$A$481,0)),"Missing")</x:f>
        <x:v>Hardware</x:v>
      </x:c>
      <x:c r="H29" t="n">
        <x:f>C29*D29</x:f>
        <x:v>889.5</x:v>
      </x:c>
      <x:c r="I29" t="n">
        <x:f>E29-H29</x:f>
        <x:v>0</x:v>
      </x:c>
    </x:row>
    <x:row r="30">
      <x:c r="A30" t="str">
        <x:v>P0047</x:v>
      </x:c>
      <x:c r="B30" t="n">
        <x:v>40</x:v>
      </x:c>
      <x:c r="C30" t="n">
        <x:v>40</x:v>
      </x:c>
      <x:c r="D30" t="n">
        <x:v>138.65</x:v>
      </x:c>
      <x:c r="E30" t="n">
        <x:v>5546</x:v>
      </x:c>
      <x:c r="F30" t="str">
        <x:f>IFERROR(VLOOKUP(A30,Product_Dim!$A$2:$D$481,4,FALSE),"Missing")</x:f>
        <x:v>Electrical</x:v>
      </x:c>
      <x:c r="G30" t="str">
        <x:f>IFERROR(INDEX(Product_Dim!$D$2:$D$481,MATCH(A30,Product_Dim!$A$2:$A$481,0)),"Missing")</x:f>
        <x:v>Electrical</x:v>
      </x:c>
      <x:c r="H30" t="n">
        <x:f>C30*D30</x:f>
        <x:v>5546</x:v>
      </x:c>
      <x:c r="I30" t="n">
        <x:f>E30-H30</x:f>
        <x:v>0</x:v>
      </x:c>
    </x:row>
    <x:row r="31">
      <x:c r="A31" t="str">
        <x:v>P0148</x:v>
      </x:c>
      <x:c r="B31" t="n">
        <x:v>3</x:v>
      </x:c>
      <x:c r="C31" t="n">
        <x:v>3</x:v>
      </x:c>
      <x:c r="D31" t="n">
        <x:v>11.37</x:v>
      </x:c>
      <x:c r="E31" t="n">
        <x:v>34.11</x:v>
      </x:c>
      <x:c r="F31" t="str">
        <x:f>IFERROR(VLOOKUP(A31,Product_Dim!$A$2:$D$481,4,FALSE),"Missing")</x:f>
        <x:v>Personal Care</x:v>
      </x:c>
      <x:c r="G31" t="str">
        <x:f>IFERROR(INDEX(Product_Dim!$D$2:$D$481,MATCH(A31,Product_Dim!$A$2:$A$481,0)),"Missing")</x:f>
        <x:v>Personal Care</x:v>
      </x:c>
      <x:c r="H31" t="n">
        <x:f>C31*D31</x:f>
        <x:v>34.11</x:v>
      </x:c>
      <x:c r="I31" t="n">
        <x:f>E31-H31</x:f>
        <x:v>0</x:v>
      </x:c>
    </x:row>
    <x:row r="32">
      <x:c r="A32" t="str">
        <x:v>P0006</x:v>
      </x:c>
      <x:c r="B32" t="n">
        <x:v>10</x:v>
      </x:c>
      <x:c r="C32" t="n">
        <x:v>0</x:v>
      </x:c>
      <x:c r="D32" t="n">
        <x:v>64.13</x:v>
      </x:c>
      <x:c r="E32" t="str">
        <x:v>0.0</x:v>
      </x:c>
      <x:c r="F32" t="str">
        <x:f>IFERROR(VLOOKUP(A32,Product_Dim!$A$2:$D$481,4,FALSE),"Missing")</x:f>
        <x:v>Hardware</x:v>
      </x:c>
      <x:c r="G32" t="str">
        <x:f>IFERROR(INDEX(Product_Dim!$D$2:$D$481,MATCH(A32,Product_Dim!$A$2:$A$481,0)),"Missing")</x:f>
        <x:v>Hardware</x:v>
      </x:c>
      <x:c r="H32" t="n">
        <x:f>C32*D32</x:f>
        <x:v>0</x:v>
      </x:c>
      <x:c r="I32" t="n">
        <x:f>E32-H32</x:f>
        <x:v>0</x:v>
      </x:c>
    </x:row>
    <x:row r="33">
      <x:c r="A33" t="str">
        <x:v>P0009</x:v>
      </x:c>
      <x:c r="B33" t="n">
        <x:v>15</x:v>
      </x:c>
      <x:c r="C33" t="n">
        <x:v>15</x:v>
      </x:c>
      <x:c r="D33" t="n">
        <x:v>187.38</x:v>
      </x:c>
      <x:c r="E33" t="n">
        <x:v>2810.7</x:v>
      </x:c>
      <x:c r="F33" t="str">
        <x:f>IFERROR(VLOOKUP(A33,Product_Dim!$A$2:$D$481,4,FALSE),"Missing")</x:f>
        <x:v>Beverages</x:v>
      </x:c>
      <x:c r="G33" t="str">
        <x:f>IFERROR(INDEX(Product_Dim!$D$2:$D$481,MATCH(A33,Product_Dim!$A$2:$A$481,0)),"Missing")</x:f>
        <x:v>Beverages</x:v>
      </x:c>
      <x:c r="H33" t="n">
        <x:f>C33*D33</x:f>
        <x:v>2810.7</x:v>
      </x:c>
      <x:c r="I33" t="n">
        <x:f>E33-H33</x:f>
        <x:v>0</x:v>
      </x:c>
    </x:row>
    <x:row r="34">
      <x:c r="A34" t="str">
        <x:v>P0025</x:v>
      </x:c>
      <x:c r="B34" t="n">
        <x:v>15</x:v>
      </x:c>
      <x:c r="C34" t="n">
        <x:v>15</x:v>
      </x:c>
      <x:c r="D34" t="n">
        <x:v>83.57</x:v>
      </x:c>
      <x:c r="E34" t="n">
        <x:v>1253.55</x:v>
      </x:c>
      <x:c r="F34" t="str">
        <x:f>IFERROR(VLOOKUP(A34,Product_Dim!$A$2:$D$481,4,FALSE),"Missing")</x:f>
        <x:v>Beverages</x:v>
      </x:c>
      <x:c r="G34" t="str">
        <x:f>IFERROR(INDEX(Product_Dim!$D$2:$D$481,MATCH(A34,Product_Dim!$A$2:$A$481,0)),"Missing")</x:f>
        <x:v>Beverages</x:v>
      </x:c>
      <x:c r="H34" t="n">
        <x:f>C34*D34</x:f>
        <x:v>1253.55</x:v>
      </x:c>
      <x:c r="I34" t="n">
        <x:f>E34-H34</x:f>
        <x:v>0</x:v>
      </x:c>
    </x:row>
    <x:row r="35">
      <x:c r="A35" t="str">
        <x:v>P0022</x:v>
      </x:c>
      <x:c r="B35" t="n">
        <x:v>15</x:v>
      </x:c>
      <x:c r="C35" t="n">
        <x:v>15</x:v>
      </x:c>
      <x:c r="D35" t="n">
        <x:v>102.68</x:v>
      </x:c>
      <x:c r="E35" t="n">
        <x:v>1540.2</x:v>
      </x:c>
      <x:c r="F35" t="str">
        <x:f>IFERROR(VLOOKUP(A35,Product_Dim!$A$2:$D$481,4,FALSE),"Missing")</x:f>
        <x:v>Hardware</x:v>
      </x:c>
      <x:c r="G35" t="str">
        <x:f>IFERROR(INDEX(Product_Dim!$D$2:$D$481,MATCH(A35,Product_Dim!$A$2:$A$481,0)),"Missing")</x:f>
        <x:v>Hardware</x:v>
      </x:c>
      <x:c r="H35" t="n">
        <x:f>C35*D35</x:f>
        <x:v>1540.2</x:v>
      </x:c>
      <x:c r="I35" t="n">
        <x:f>E35-H35</x:f>
        <x:v>0</x:v>
      </x:c>
    </x:row>
    <x:row r="36">
      <x:c r="A36" t="str">
        <x:v>P0014</x:v>
      </x:c>
      <x:c r="B36" t="n">
        <x:v>60</x:v>
      </x:c>
      <x:c r="C36" t="n">
        <x:v>0</x:v>
      </x:c>
      <x:c r="D36" t="n">
        <x:v>33.46</x:v>
      </x:c>
      <x:c r="E36" t="str">
        <x:v>0.0</x:v>
      </x:c>
      <x:c r="F36" t="str">
        <x:f>IFERROR(VLOOKUP(A36,Product_Dim!$A$2:$D$481,4,FALSE),"Missing")</x:f>
        <x:v>Hardware</x:v>
      </x:c>
      <x:c r="G36" t="str">
        <x:f>IFERROR(INDEX(Product_Dim!$D$2:$D$481,MATCH(A36,Product_Dim!$A$2:$A$481,0)),"Missing")</x:f>
        <x:v>Hardware</x:v>
      </x:c>
      <x:c r="H36" t="n">
        <x:f>C36*D36</x:f>
        <x:v>0</x:v>
      </x:c>
      <x:c r="I36" t="n">
        <x:f>E36-H36</x:f>
        <x:v>0</x:v>
      </x:c>
    </x:row>
    <x:row r="37">
      <x:c r="A37" t="str">
        <x:v>P0246</x:v>
      </x:c>
      <x:c r="B37" t="n">
        <x:v>8</x:v>
      </x:c>
      <x:c r="C37" t="n">
        <x:v>8</x:v>
      </x:c>
      <x:c r="D37" t="n">
        <x:v>57.09</x:v>
      </x:c>
      <x:c r="E37" t="n">
        <x:v>456.72</x:v>
      </x:c>
      <x:c r="F37" t="str">
        <x:f>IFERROR(VLOOKUP(A37,Product_Dim!$A$2:$D$481,4,FALSE),"Missing")</x:f>
        <x:v>Hardware</x:v>
      </x:c>
      <x:c r="G37" t="str">
        <x:f>IFERROR(INDEX(Product_Dim!$D$2:$D$481,MATCH(A37,Product_Dim!$A$2:$A$481,0)),"Missing")</x:f>
        <x:v>Hardware</x:v>
      </x:c>
      <x:c r="H37" t="n">
        <x:f>C37*D37</x:f>
        <x:v>456.72</x:v>
      </x:c>
      <x:c r="I37" t="n">
        <x:f>E37-H37</x:f>
        <x:v>0</x:v>
      </x:c>
    </x:row>
    <x:row r="38">
      <x:c r="A38" t="str">
        <x:v>P0009</x:v>
      </x:c>
      <x:c r="B38" t="n">
        <x:v>20</x:v>
      </x:c>
      <x:c r="C38" t="n">
        <x:v>20</x:v>
      </x:c>
      <x:c r="D38" t="n">
        <x:v>187.38</x:v>
      </x:c>
      <x:c r="E38" t="n">
        <x:v>3747.6</x:v>
      </x:c>
      <x:c r="F38" t="str">
        <x:f>IFERROR(VLOOKUP(A38,Product_Dim!$A$2:$D$481,4,FALSE),"Missing")</x:f>
        <x:v>Beverages</x:v>
      </x:c>
      <x:c r="G38" t="str">
        <x:f>IFERROR(INDEX(Product_Dim!$D$2:$D$481,MATCH(A38,Product_Dim!$A$2:$A$481,0)),"Missing")</x:f>
        <x:v>Beverages</x:v>
      </x:c>
      <x:c r="H38" t="n">
        <x:f>C38*D38</x:f>
        <x:v>3747.6</x:v>
      </x:c>
      <x:c r="I38" t="n">
        <x:f>E38-H38</x:f>
        <x:v>0</x:v>
      </x:c>
    </x:row>
    <x:row r="39">
      <x:c r="A39" t="str">
        <x:v>P0367</x:v>
      </x:c>
      <x:c r="B39" t="n">
        <x:v>5</x:v>
      </x:c>
      <x:c r="C39" t="n">
        <x:v>5</x:v>
      </x:c>
      <x:c r="D39" t="n">
        <x:v>62.84</x:v>
      </x:c>
      <x:c r="E39" t="n">
        <x:v>314.2</x:v>
      </x:c>
      <x:c r="F39" t="str">
        <x:f>IFERROR(VLOOKUP(A39,Product_Dim!$A$2:$D$481,4,FALSE),"Missing")</x:f>
        <x:v>Electrical</x:v>
      </x:c>
      <x:c r="G39" t="str">
        <x:f>IFERROR(INDEX(Product_Dim!$D$2:$D$481,MATCH(A39,Product_Dim!$A$2:$A$481,0)),"Missing")</x:f>
        <x:v>Electrical</x:v>
      </x:c>
      <x:c r="H39" t="n">
        <x:f>C39*D39</x:f>
        <x:v>314.20000000000005</x:v>
      </x:c>
      <x:c r="I39" t="n">
        <x:f>E39-H39</x:f>
        <x:v>-5.684341886080802e-14</x:v>
      </x:c>
    </x:row>
    <x:row r="40">
      <x:c r="A40" t="str">
        <x:v>P0141</x:v>
      </x:c>
      <x:c r="B40" t="n">
        <x:v>30</x:v>
      </x:c>
      <x:c r="C40" t="n">
        <x:v>30</x:v>
      </x:c>
      <x:c r="D40" t="n">
        <x:v>26.64</x:v>
      </x:c>
      <x:c r="E40" t="n">
        <x:v>799.2</x:v>
      </x:c>
      <x:c r="F40" t="str">
        <x:f>IFERROR(VLOOKUP(A40,Product_Dim!$A$2:$D$481,4,FALSE),"Missing")</x:f>
        <x:v>Packaging</x:v>
      </x:c>
      <x:c r="G40" t="str">
        <x:f>IFERROR(INDEX(Product_Dim!$D$2:$D$481,MATCH(A40,Product_Dim!$A$2:$A$481,0)),"Missing")</x:f>
        <x:v>Packaging</x:v>
      </x:c>
      <x:c r="H40" t="n">
        <x:f>C40*D40</x:f>
        <x:v>799.2</x:v>
      </x:c>
      <x:c r="I40" t="n">
        <x:f>E40-H40</x:f>
        <x:v>0</x:v>
      </x:c>
    </x:row>
    <x:row r="41">
      <x:c r="A41" t="str">
        <x:v>P0004</x:v>
      </x:c>
      <x:c r="B41" t="n">
        <x:v>3</x:v>
      </x:c>
      <x:c r="C41" t="n">
        <x:v>3</x:v>
      </x:c>
      <x:c r="D41" t="n">
        <x:v>57.91</x:v>
      </x:c>
      <x:c r="E41" t="n">
        <x:v>173.73</x:v>
      </x:c>
      <x:c r="F41" t="str">
        <x:f>IFERROR(VLOOKUP(A41,Product_Dim!$A$2:$D$481,4,FALSE),"Missing")</x:f>
        <x:v>Personal Care</x:v>
      </x:c>
      <x:c r="G41" t="str">
        <x:f>IFERROR(INDEX(Product_Dim!$D$2:$D$481,MATCH(A41,Product_Dim!$A$2:$A$481,0)),"Missing")</x:f>
        <x:v>Personal Care</x:v>
      </x:c>
      <x:c r="H41" t="n">
        <x:f>C41*D41</x:f>
        <x:v>173.73</x:v>
      </x:c>
      <x:c r="I41" t="n">
        <x:f>E41-H41</x:f>
        <x:v>0</x:v>
      </x:c>
    </x:row>
    <x:row r="42">
      <x:c r="A42" t="str">
        <x:v>P0011</x:v>
      </x:c>
      <x:c r="B42" t="n">
        <x:v>41</x:v>
      </x:c>
      <x:c r="C42" t="n">
        <x:v>41</x:v>
      </x:c>
      <x:c r="D42" t="n">
        <x:v>33.99</x:v>
      </x:c>
      <x:c r="E42" t="n">
        <x:v>1393.59</x:v>
      </x:c>
      <x:c r="F42" t="str">
        <x:f>IFERROR(VLOOKUP(A42,Product_Dim!$A$2:$D$481,4,FALSE),"Missing")</x:f>
        <x:v>Household</x:v>
      </x:c>
      <x:c r="G42" t="str">
        <x:f>IFERROR(INDEX(Product_Dim!$D$2:$D$481,MATCH(A42,Product_Dim!$A$2:$A$481,0)),"Missing")</x:f>
        <x:v>Household</x:v>
      </x:c>
      <x:c r="H42" t="n">
        <x:f>C42*D42</x:f>
        <x:v>1393.5900000000001</x:v>
      </x:c>
      <x:c r="I42" t="n">
        <x:f>E42-H42</x:f>
        <x:v>-2.2737367544323206e-13</x:v>
      </x:c>
    </x:row>
    <x:row r="43">
      <x:c r="A43" t="str">
        <x:v>P0005</x:v>
      </x:c>
      <x:c r="B43" t="n">
        <x:v>29</x:v>
      </x:c>
      <x:c r="C43" t="n">
        <x:v>0</x:v>
      </x:c>
      <x:c r="D43" t="n">
        <x:v>166.62</x:v>
      </x:c>
      <x:c r="E43" t="str">
        <x:v>0.0</x:v>
      </x:c>
      <x:c r="F43" t="str">
        <x:f>IFERROR(VLOOKUP(A43,Product_Dim!$A$2:$D$481,4,FALSE),"Missing")</x:f>
        <x:v>Packaging</x:v>
      </x:c>
      <x:c r="G43" t="str">
        <x:f>IFERROR(INDEX(Product_Dim!$D$2:$D$481,MATCH(A43,Product_Dim!$A$2:$A$481,0)),"Missing")</x:f>
        <x:v>Packaging</x:v>
      </x:c>
      <x:c r="H43" t="n">
        <x:f>C43*D43</x:f>
        <x:v>0</x:v>
      </x:c>
      <x:c r="I43" t="n">
        <x:f>E43-H43</x:f>
        <x:v>0</x:v>
      </x:c>
    </x:row>
    <x:row r="44">
      <x:c r="A44" t="str">
        <x:v>P0418</x:v>
      </x:c>
      <x:c r="B44" t="n">
        <x:v>30</x:v>
      </x:c>
      <x:c r="C44" t="n">
        <x:v>30</x:v>
      </x:c>
      <x:c r="D44" t="n">
        <x:v>170.75</x:v>
      </x:c>
      <x:c r="E44" t="n">
        <x:v>5122.5</x:v>
      </x:c>
      <x:c r="F44" t="str">
        <x:f>IFERROR(VLOOKUP(A44,Product_Dim!$A$2:$D$481,4,FALSE),"Missing")</x:f>
        <x:v>Dry Grocery</x:v>
      </x:c>
      <x:c r="G44" t="str">
        <x:f>IFERROR(INDEX(Product_Dim!$D$2:$D$481,MATCH(A44,Product_Dim!$A$2:$A$481,0)),"Missing")</x:f>
        <x:v>Dry Grocery</x:v>
      </x:c>
      <x:c r="H44" t="n">
        <x:f>C44*D44</x:f>
        <x:v>5122.5</x:v>
      </x:c>
      <x:c r="I44" t="n">
        <x:f>E44-H44</x:f>
        <x:v>0</x:v>
      </x:c>
    </x:row>
    <x:row r="45">
      <x:c r="A45" t="str">
        <x:v>P0403</x:v>
      </x:c>
      <x:c r="B45" t="n">
        <x:v>8</x:v>
      </x:c>
      <x:c r="C45" t="n">
        <x:v>8</x:v>
      </x:c>
      <x:c r="D45" t="n">
        <x:v>166.25</x:v>
      </x:c>
      <x:c r="E45" t="n">
        <x:v>1330</x:v>
      </x:c>
      <x:c r="F45" t="str">
        <x:f>IFERROR(VLOOKUP(A45,Product_Dim!$A$2:$D$481,4,FALSE),"Missing")</x:f>
        <x:v>Household</x:v>
      </x:c>
      <x:c r="G45" t="str">
        <x:f>IFERROR(INDEX(Product_Dim!$D$2:$D$481,MATCH(A45,Product_Dim!$A$2:$A$481,0)),"Missing")</x:f>
        <x:v>Household</x:v>
      </x:c>
      <x:c r="H45" t="n">
        <x:f>C45*D45</x:f>
        <x:v>1330</x:v>
      </x:c>
      <x:c r="I45" t="n">
        <x:f>E45-H45</x:f>
        <x:v>0</x:v>
      </x:c>
    </x:row>
    <x:row r="46">
      <x:c r="A46" t="str">
        <x:v>P0111</x:v>
      </x:c>
      <x:c r="B46" t="n">
        <x:v>40</x:v>
      </x:c>
      <x:c r="C46" t="n">
        <x:v>40</x:v>
      </x:c>
      <x:c r="D46" t="n">
        <x:v>136.37</x:v>
      </x:c>
      <x:c r="E46" t="n">
        <x:v>5454.8</x:v>
      </x:c>
      <x:c r="F46" t="str">
        <x:f>IFERROR(VLOOKUP(A46,Product_Dim!$A$2:$D$481,4,FALSE),"Missing")</x:f>
        <x:v>Electrical</x:v>
      </x:c>
      <x:c r="G46" t="str">
        <x:f>IFERROR(INDEX(Product_Dim!$D$2:$D$481,MATCH(A46,Product_Dim!$A$2:$A$481,0)),"Missing")</x:f>
        <x:v>Electrical</x:v>
      </x:c>
      <x:c r="H46" t="n">
        <x:f>C46*D46</x:f>
        <x:v>5454.8</x:v>
      </x:c>
      <x:c r="I46" t="n">
        <x:f>E46-H46</x:f>
        <x:v>0</x:v>
      </x:c>
    </x:row>
    <x:row r="47">
      <x:c r="A47" t="str">
        <x:v>P0279</x:v>
      </x:c>
      <x:c r="B47" t="n">
        <x:v>8</x:v>
      </x:c>
      <x:c r="C47" t="n">
        <x:v>8</x:v>
      </x:c>
      <x:c r="D47" t="n">
        <x:v>174.92</x:v>
      </x:c>
      <x:c r="E47" t="n">
        <x:v>1399.36</x:v>
      </x:c>
      <x:c r="F47" t="str">
        <x:f>IFERROR(VLOOKUP(A47,Product_Dim!$A$2:$D$481,4,FALSE),"Missing")</x:f>
        <x:v>Electrical</x:v>
      </x:c>
      <x:c r="G47" t="str">
        <x:f>IFERROR(INDEX(Product_Dim!$D$2:$D$481,MATCH(A47,Product_Dim!$A$2:$A$481,0)),"Missing")</x:f>
        <x:v>Electrical</x:v>
      </x:c>
      <x:c r="H47" t="n">
        <x:f>C47*D47</x:f>
        <x:v>1399.36</x:v>
      </x:c>
      <x:c r="I47" t="n">
        <x:f>E47-H47</x:f>
        <x:v>0</x:v>
      </x:c>
    </x:row>
    <x:row r="48">
      <x:c r="A48" t="str">
        <x:v>P0260</x:v>
      </x:c>
      <x:c r="B48" t="n">
        <x:v>3</x:v>
      </x:c>
      <x:c r="C48" t="n">
        <x:v>3</x:v>
      </x:c>
      <x:c r="D48" t="n">
        <x:v>73.95</x:v>
      </x:c>
      <x:c r="E48" t="n">
        <x:v>221.85</x:v>
      </x:c>
      <x:c r="F48" t="str">
        <x:f>IFERROR(VLOOKUP(A48,Product_Dim!$A$2:$D$481,4,FALSE),"Missing")</x:f>
        <x:v>Personal Care</x:v>
      </x:c>
      <x:c r="G48" t="str">
        <x:f>IFERROR(INDEX(Product_Dim!$D$2:$D$481,MATCH(A48,Product_Dim!$A$2:$A$481,0)),"Missing")</x:f>
        <x:v>Personal Care</x:v>
      </x:c>
      <x:c r="H48" t="n">
        <x:f>C48*D48</x:f>
        <x:v>221.85000000000002</x:v>
      </x:c>
      <x:c r="I48" t="n">
        <x:f>E48-H48</x:f>
        <x:v>-2.842170943040401e-14</x:v>
      </x:c>
    </x:row>
    <x:row r="49">
      <x:c r="A49" t="str">
        <x:v>P0246</x:v>
      </x:c>
      <x:c r="B49" t="n">
        <x:v>5</x:v>
      </x:c>
      <x:c r="C49" t="n">
        <x:v>5</x:v>
      </x:c>
      <x:c r="D49" t="n">
        <x:v>57.09</x:v>
      </x:c>
      <x:c r="E49" t="n">
        <x:v>285.45</x:v>
      </x:c>
      <x:c r="F49" t="str">
        <x:f>IFERROR(VLOOKUP(A49,Product_Dim!$A$2:$D$481,4,FALSE),"Missing")</x:f>
        <x:v>Hardware</x:v>
      </x:c>
      <x:c r="G49" t="str">
        <x:f>IFERROR(INDEX(Product_Dim!$D$2:$D$481,MATCH(A49,Product_Dim!$A$2:$A$481,0)),"Missing")</x:f>
        <x:v>Hardware</x:v>
      </x:c>
      <x:c r="H49" t="n">
        <x:f>C49*D49</x:f>
        <x:v>285.45000000000005</x:v>
      </x:c>
      <x:c r="I49" t="n">
        <x:f>E49-H49</x:f>
        <x:v>-5.684341886080802e-14</x:v>
      </x:c>
    </x:row>
    <x:row r="50">
      <x:c r="A50" t="str">
        <x:v>P0125</x:v>
      </x:c>
      <x:c r="B50" t="n">
        <x:v>15</x:v>
      </x:c>
      <x:c r="C50" t="n">
        <x:v>15</x:v>
      </x:c>
      <x:c r="D50" t="n">
        <x:v>32.68</x:v>
      </x:c>
      <x:c r="E50" t="n">
        <x:v>490.2</x:v>
      </x:c>
      <x:c r="F50" t="str">
        <x:f>IFERROR(VLOOKUP(A50,Product_Dim!$A$2:$D$481,4,FALSE),"Missing")</x:f>
        <x:v>Packaging</x:v>
      </x:c>
      <x:c r="G50" t="str">
        <x:f>IFERROR(INDEX(Product_Dim!$D$2:$D$481,MATCH(A50,Product_Dim!$A$2:$A$481,0)),"Missing")</x:f>
        <x:v>Packaging</x:v>
      </x:c>
      <x:c r="H50" t="n">
        <x:f>C50*D50</x:f>
        <x:v>490.2</x:v>
      </x:c>
      <x:c r="I50" t="n">
        <x:f>E50-H50</x:f>
        <x:v>0</x:v>
      </x:c>
    </x:row>
    <x:row r="51">
      <x:c r="A51" t="str">
        <x:v>P0075</x:v>
      </x:c>
      <x:c r="B51" t="n">
        <x:v>15</x:v>
      </x:c>
      <x:c r="C51" t="n">
        <x:v>15</x:v>
      </x:c>
      <x:c r="D51" t="n">
        <x:v>142.48</x:v>
      </x:c>
      <x:c r="E51" t="n">
        <x:v>2137.2</x:v>
      </x:c>
      <x:c r="F51" t="str">
        <x:f>IFERROR(VLOOKUP(A51,Product_Dim!$A$2:$D$481,4,FALSE),"Missing")</x:f>
        <x:v>Household</x:v>
      </x:c>
      <x:c r="G51" t="str">
        <x:f>IFERROR(INDEX(Product_Dim!$D$2:$D$481,MATCH(A51,Product_Dim!$A$2:$A$481,0)),"Missing")</x:f>
        <x:v>Household</x:v>
      </x:c>
      <x:c r="H51" t="n">
        <x:f>C51*D51</x:f>
        <x:v>2137.2</x:v>
      </x:c>
      <x:c r="I51" t="n">
        <x:f>E51-H51</x:f>
        <x:v>0</x:v>
      </x:c>
    </x:row>
    <x:row r="52">
      <x:c r="A52" t="str">
        <x:v>P0027</x:v>
      </x:c>
      <x:c r="B52" t="n">
        <x:v>5</x:v>
      </x:c>
      <x:c r="C52" t="n">
        <x:v>5</x:v>
      </x:c>
      <x:c r="D52" t="n">
        <x:v>198.91</x:v>
      </x:c>
      <x:c r="E52" t="n">
        <x:v>994.55</x:v>
      </x:c>
      <x:c r="F52" t="str">
        <x:f>IFERROR(VLOOKUP(A52,Product_Dim!$A$2:$D$481,4,FALSE),"Missing")</x:f>
        <x:v>Household</x:v>
      </x:c>
      <x:c r="G52" t="str">
        <x:f>IFERROR(INDEX(Product_Dim!$D$2:$D$481,MATCH(A52,Product_Dim!$A$2:$A$481,0)),"Missing")</x:f>
        <x:v>Household</x:v>
      </x:c>
      <x:c r="H52" t="n">
        <x:f>C52*D52</x:f>
        <x:v>994.55</x:v>
      </x:c>
      <x:c r="I52" t="n">
        <x:f>E52-H52</x:f>
        <x:v>0</x:v>
      </x:c>
    </x:row>
    <x:row r="53">
      <x:c r="A53" t="str">
        <x:v>P0073</x:v>
      </x:c>
      <x:c r="B53" t="n">
        <x:v>8</x:v>
      </x:c>
      <x:c r="C53" t="n">
        <x:v>8</x:v>
      </x:c>
      <x:c r="D53" t="n">
        <x:v>112.99</x:v>
      </x:c>
      <x:c r="E53" t="n">
        <x:v>903.92</x:v>
      </x:c>
      <x:c r="F53" t="str">
        <x:f>IFERROR(VLOOKUP(A53,Product_Dim!$A$2:$D$481,4,FALSE),"Missing")</x:f>
        <x:v>Beverages</x:v>
      </x:c>
      <x:c r="G53" t="str">
        <x:f>IFERROR(INDEX(Product_Dim!$D$2:$D$481,MATCH(A53,Product_Dim!$A$2:$A$481,0)),"Missing")</x:f>
        <x:v>Beverages</x:v>
      </x:c>
      <x:c r="H53" t="n">
        <x:f>C53*D53</x:f>
        <x:v>903.92</x:v>
      </x:c>
      <x:c r="I53" t="n">
        <x:f>E53-H53</x:f>
        <x:v>0</x:v>
      </x:c>
    </x:row>
    <x:row r="54">
      <x:c r="A54" t="str">
        <x:v>P0279</x:v>
      </x:c>
      <x:c r="B54" t="n">
        <x:v>5</x:v>
      </x:c>
      <x:c r="C54" t="n">
        <x:v>5</x:v>
      </x:c>
      <x:c r="D54" t="n">
        <x:v>174.92</x:v>
      </x:c>
      <x:c r="E54" t="n">
        <x:v>874.6</x:v>
      </x:c>
      <x:c r="F54" t="str">
        <x:f>IFERROR(VLOOKUP(A54,Product_Dim!$A$2:$D$481,4,FALSE),"Missing")</x:f>
        <x:v>Electrical</x:v>
      </x:c>
      <x:c r="G54" t="str">
        <x:f>IFERROR(INDEX(Product_Dim!$D$2:$D$481,MATCH(A54,Product_Dim!$A$2:$A$481,0)),"Missing")</x:f>
        <x:v>Electrical</x:v>
      </x:c>
      <x:c r="H54" t="n">
        <x:f>C54*D54</x:f>
        <x:v>874.5999999999999</x:v>
      </x:c>
      <x:c r="I54" t="n">
        <x:f>E54-H54</x:f>
        <x:v>1.1368683772161603e-13</x:v>
      </x:c>
    </x:row>
    <x:row r="55">
      <x:c r="A55" t="str">
        <x:v>P0431</x:v>
      </x:c>
      <x:c r="B55" t="n">
        <x:v>10</x:v>
      </x:c>
      <x:c r="C55" t="n">
        <x:v>10</x:v>
      </x:c>
      <x:c r="D55" t="n">
        <x:v>86.35</x:v>
      </x:c>
      <x:c r="E55" t="n">
        <x:v>863.5</x:v>
      </x:c>
      <x:c r="F55" t="str">
        <x:f>IFERROR(VLOOKUP(A55,Product_Dim!$A$2:$D$481,4,FALSE),"Missing")</x:f>
        <x:v>Electrical</x:v>
      </x:c>
      <x:c r="G55" t="str">
        <x:f>IFERROR(INDEX(Product_Dim!$D$2:$D$481,MATCH(A55,Product_Dim!$A$2:$A$481,0)),"Missing")</x:f>
        <x:v>Electrical</x:v>
      </x:c>
      <x:c r="H55" t="n">
        <x:f>C55*D55</x:f>
        <x:v>863.5</x:v>
      </x:c>
      <x:c r="I55" t="n">
        <x:f>E55-H55</x:f>
        <x:v>0</x:v>
      </x:c>
    </x:row>
    <x:row r="56">
      <x:c r="A56" t="str">
        <x:v>P0340</x:v>
      </x:c>
      <x:c r="B56" t="n">
        <x:v>8</x:v>
      </x:c>
      <x:c r="C56" t="n">
        <x:v>0</x:v>
      </x:c>
      <x:c r="D56" t="n">
        <x:v>195.23</x:v>
      </x:c>
      <x:c r="E56" t="str">
        <x:v>0.0</x:v>
      </x:c>
      <x:c r="F56" t="str">
        <x:f>IFERROR(VLOOKUP(A56,Product_Dim!$A$2:$D$481,4,FALSE),"Missing")</x:f>
        <x:v>Personal Care</x:v>
      </x:c>
      <x:c r="G56" t="str">
        <x:f>IFERROR(INDEX(Product_Dim!$D$2:$D$481,MATCH(A56,Product_Dim!$A$2:$A$481,0)),"Missing")</x:f>
        <x:v>Personal Care</x:v>
      </x:c>
      <x:c r="H56" t="n">
        <x:f>C56*D56</x:f>
        <x:v>0</x:v>
      </x:c>
      <x:c r="I56" t="n">
        <x:f>E56-H56</x:f>
        <x:v>0</x:v>
      </x:c>
    </x:row>
    <x:row r="57">
      <x:c r="A57" t="str">
        <x:v>P0240</x:v>
      </x:c>
      <x:c r="B57" t="n">
        <x:v>30</x:v>
      </x:c>
      <x:c r="C57" t="n">
        <x:v>30</x:v>
      </x:c>
      <x:c r="D57" t="n">
        <x:v>90.01</x:v>
      </x:c>
      <x:c r="E57" t="n">
        <x:v>2700.3</x:v>
      </x:c>
      <x:c r="F57" t="str">
        <x:f>IFERROR(VLOOKUP(A57,Product_Dim!$A$2:$D$481,4,FALSE),"Missing")</x:f>
        <x:v>Cleaning</x:v>
      </x:c>
      <x:c r="G57" t="str">
        <x:f>IFERROR(INDEX(Product_Dim!$D$2:$D$481,MATCH(A57,Product_Dim!$A$2:$A$481,0)),"Missing")</x:f>
        <x:v>Cleaning</x:v>
      </x:c>
      <x:c r="H57" t="n">
        <x:f>C57*D57</x:f>
        <x:v>2700.3</x:v>
      </x:c>
      <x:c r="I57" t="n">
        <x:f>E57-H57</x:f>
        <x:v>0</x:v>
      </x:c>
    </x:row>
    <x:row r="58">
      <x:c r="A58" t="str">
        <x:v>P0109</x:v>
      </x:c>
      <x:c r="B58" t="n">
        <x:v>8</x:v>
      </x:c>
      <x:c r="C58" t="n">
        <x:v>8</x:v>
      </x:c>
      <x:c r="D58" t="n">
        <x:v>187.04</x:v>
      </x:c>
      <x:c r="E58" t="n">
        <x:v>1496.32</x:v>
      </x:c>
      <x:c r="F58" t="str">
        <x:f>IFERROR(VLOOKUP(A58,Product_Dim!$A$2:$D$481,4,FALSE),"Missing")</x:f>
        <x:v>Packaging</x:v>
      </x:c>
      <x:c r="G58" t="str">
        <x:f>IFERROR(INDEX(Product_Dim!$D$2:$D$481,MATCH(A58,Product_Dim!$A$2:$A$481,0)),"Missing")</x:f>
        <x:v>Packaging</x:v>
      </x:c>
      <x:c r="H58" t="n">
        <x:f>C58*D58</x:f>
        <x:v>1496.32</x:v>
      </x:c>
      <x:c r="I58" t="n">
        <x:f>E58-H58</x:f>
        <x:v>0</x:v>
      </x:c>
    </x:row>
    <x:row r="59">
      <x:c r="A59" t="str">
        <x:v>P0422</x:v>
      </x:c>
      <x:c r="B59" t="n">
        <x:v>5</x:v>
      </x:c>
      <x:c r="C59" t="n">
        <x:v>5</x:v>
      </x:c>
      <x:c r="D59" t="n">
        <x:v>142.95</x:v>
      </x:c>
      <x:c r="E59" t="n">
        <x:v>714.75</x:v>
      </x:c>
      <x:c r="F59" t="str">
        <x:f>IFERROR(VLOOKUP(A59,Product_Dim!$A$2:$D$481,4,FALSE),"Missing")</x:f>
        <x:v>Hardware</x:v>
      </x:c>
      <x:c r="G59" t="str">
        <x:f>IFERROR(INDEX(Product_Dim!$D$2:$D$481,MATCH(A59,Product_Dim!$A$2:$A$481,0)),"Missing")</x:f>
        <x:v>Hardware</x:v>
      </x:c>
      <x:c r="H59" t="n">
        <x:f>C59*D59</x:f>
        <x:v>714.75</x:v>
      </x:c>
      <x:c r="I59" t="n">
        <x:f>E59-H59</x:f>
        <x:v>0</x:v>
      </x:c>
    </x:row>
    <x:row r="60">
      <x:c r="A60" t="str">
        <x:v>P0007</x:v>
      </x:c>
      <x:c r="B60" t="n">
        <x:v>21</x:v>
      </x:c>
      <x:c r="C60" t="n">
        <x:v>0</x:v>
      </x:c>
      <x:c r="D60" t="n">
        <x:v>108.18</x:v>
      </x:c>
      <x:c r="E60" t="str">
        <x:v>0.0</x:v>
      </x:c>
      <x:c r="F60" t="str">
        <x:f>IFERROR(VLOOKUP(A60,Product_Dim!$A$2:$D$481,4,FALSE),"Missing")</x:f>
        <x:v>Electrical</x:v>
      </x:c>
      <x:c r="G60" t="str">
        <x:f>IFERROR(INDEX(Product_Dim!$D$2:$D$481,MATCH(A60,Product_Dim!$A$2:$A$481,0)),"Missing")</x:f>
        <x:v>Electrical</x:v>
      </x:c>
      <x:c r="H60" t="n">
        <x:f>C60*D60</x:f>
        <x:v>0</x:v>
      </x:c>
      <x:c r="I60" t="n">
        <x:f>E60-H60</x:f>
        <x:v>0</x:v>
      </x:c>
    </x:row>
    <x:row r="61">
      <x:c r="A61" t="str">
        <x:v>P0181</x:v>
      </x:c>
      <x:c r="B61" t="n">
        <x:v>3</x:v>
      </x:c>
      <x:c r="C61" t="n">
        <x:v>3</x:v>
      </x:c>
      <x:c r="D61" t="n">
        <x:v>169.67</x:v>
      </x:c>
      <x:c r="E61" t="n">
        <x:v>509.01</x:v>
      </x:c>
      <x:c r="F61" t="str">
        <x:f>IFERROR(VLOOKUP(A61,Product_Dim!$A$2:$D$481,4,FALSE),"Missing")</x:f>
        <x:v>Packaging</x:v>
      </x:c>
      <x:c r="G61" t="str">
        <x:f>IFERROR(INDEX(Product_Dim!$D$2:$D$481,MATCH(A61,Product_Dim!$A$2:$A$481,0)),"Missing")</x:f>
        <x:v>Packaging</x:v>
      </x:c>
      <x:c r="H61" t="n">
        <x:f>C61*D61</x:f>
        <x:v>509.01</x:v>
      </x:c>
      <x:c r="I61" t="n">
        <x:f>E61-H61</x:f>
        <x:v>0</x:v>
      </x:c>
    </x:row>
    <x:row r="62">
      <x:c r="A62" t="str">
        <x:v>P0089</x:v>
      </x:c>
      <x:c r="B62" t="n">
        <x:v>60</x:v>
      </x:c>
      <x:c r="C62" t="n">
        <x:v>60</x:v>
      </x:c>
      <x:c r="D62" t="n">
        <x:v>118.87</x:v>
      </x:c>
      <x:c r="E62" t="n">
        <x:v>7132.2</x:v>
      </x:c>
      <x:c r="F62" t="str">
        <x:f>IFERROR(VLOOKUP(A62,Product_Dim!$A$2:$D$481,4,FALSE),"Missing")</x:f>
        <x:v>Beverages</x:v>
      </x:c>
      <x:c r="G62" t="str">
        <x:f>IFERROR(INDEX(Product_Dim!$D$2:$D$481,MATCH(A62,Product_Dim!$A$2:$A$481,0)),"Missing")</x:f>
        <x:v>Beverages</x:v>
      </x:c>
      <x:c r="H62" t="n">
        <x:f>C62*D62</x:f>
        <x:v>7132.200000000001</x:v>
      </x:c>
      <x:c r="I62" t="n">
        <x:f>E62-H62</x:f>
        <x:v>-9.094947017729282e-13</x:v>
      </x:c>
    </x:row>
    <x:row r="63">
      <x:c r="A63" t="str">
        <x:v>P0294</x:v>
      </x:c>
      <x:c r="B63" t="n">
        <x:v>10</x:v>
      </x:c>
      <x:c r="C63" t="n">
        <x:v>10</x:v>
      </x:c>
      <x:c r="D63" t="n">
        <x:v>30.05</x:v>
      </x:c>
      <x:c r="E63" t="n">
        <x:v>300.5</x:v>
      </x:c>
      <x:c r="F63" t="str">
        <x:f>IFERROR(VLOOKUP(A63,Product_Dim!$A$2:$D$481,4,FALSE),"Missing")</x:f>
        <x:v>Hardware</x:v>
      </x:c>
      <x:c r="G63" t="str">
        <x:f>IFERROR(INDEX(Product_Dim!$D$2:$D$481,MATCH(A63,Product_Dim!$A$2:$A$481,0)),"Missing")</x:f>
        <x:v>Hardware</x:v>
      </x:c>
      <x:c r="H63" t="n">
        <x:f>C63*D63</x:f>
        <x:v>300.5</x:v>
      </x:c>
      <x:c r="I63" t="n">
        <x:f>E63-H63</x:f>
        <x:v>0</x:v>
      </x:c>
    </x:row>
    <x:row r="64">
      <x:c r="A64" t="str">
        <x:v>P0003</x:v>
      </x:c>
      <x:c r="B64" t="n">
        <x:v>15</x:v>
      </x:c>
      <x:c r="C64" t="n">
        <x:v>15</x:v>
      </x:c>
      <x:c r="D64" t="n">
        <x:v>160.17</x:v>
      </x:c>
      <x:c r="E64" t="n">
        <x:v>2402.55</x:v>
      </x:c>
      <x:c r="F64" t="str">
        <x:f>IFERROR(VLOOKUP(A64,Product_Dim!$A$2:$D$481,4,FALSE),"Missing")</x:f>
        <x:v>Household</x:v>
      </x:c>
      <x:c r="G64" t="str">
        <x:f>IFERROR(INDEX(Product_Dim!$D$2:$D$481,MATCH(A64,Product_Dim!$A$2:$A$481,0)),"Missing")</x:f>
        <x:v>Household</x:v>
      </x:c>
      <x:c r="H64" t="n">
        <x:f>C64*D64</x:f>
        <x:v>2402.5499999999997</x:v>
      </x:c>
      <x:c r="I64" t="n">
        <x:f>E64-H64</x:f>
        <x:v>4.547473508864641e-13</x:v>
      </x:c>
    </x:row>
    <x:row r="65">
      <x:c r="A65" t="str">
        <x:v>P0001</x:v>
      </x:c>
      <x:c r="B65" t="n">
        <x:v>20</x:v>
      </x:c>
      <x:c r="C65" t="n">
        <x:v>0</x:v>
      </x:c>
      <x:c r="D65" t="n">
        <x:v>43.13</x:v>
      </x:c>
      <x:c r="E65" t="str">
        <x:v>0.0</x:v>
      </x:c>
      <x:c r="F65" t="str">
        <x:f>IFERROR(VLOOKUP(A65,Product_Dim!$A$2:$D$481,4,FALSE),"Missing")</x:f>
        <x:v>Beverages</x:v>
      </x:c>
      <x:c r="G65" t="str">
        <x:f>IFERROR(INDEX(Product_Dim!$D$2:$D$481,MATCH(A65,Product_Dim!$A$2:$A$481,0)),"Missing")</x:f>
        <x:v>Beverages</x:v>
      </x:c>
      <x:c r="H65" t="n">
        <x:f>C65*D65</x:f>
        <x:v>0</x:v>
      </x:c>
      <x:c r="I65" t="n">
        <x:f>E65-H65</x:f>
        <x:v>0</x:v>
      </x:c>
    </x:row>
    <x:row r="66">
      <x:c r="A66" t="str">
        <x:v>P0002</x:v>
      </x:c>
      <x:c r="B66" t="n">
        <x:v>10</x:v>
      </x:c>
      <x:c r="C66" t="n">
        <x:v>10</x:v>
      </x:c>
      <x:c r="D66" t="n">
        <x:v>136.31</x:v>
      </x:c>
      <x:c r="E66" t="n">
        <x:v>1363.1</x:v>
      </x:c>
      <x:c r="F66" t="str">
        <x:f>IFERROR(VLOOKUP(A66,Product_Dim!$A$2:$D$481,4,FALSE),"Missing")</x:f>
        <x:v>Dry Grocery</x:v>
      </x:c>
      <x:c r="G66" t="str">
        <x:f>IFERROR(INDEX(Product_Dim!$D$2:$D$481,MATCH(A66,Product_Dim!$A$2:$A$481,0)),"Missing")</x:f>
        <x:v>Dry Grocery</x:v>
      </x:c>
      <x:c r="H66" t="n">
        <x:f>C66*D66</x:f>
        <x:v>1363.1</x:v>
      </x:c>
      <x:c r="I66" t="n">
        <x:f>E66-H66</x:f>
        <x:v>0</x:v>
      </x:c>
    </x:row>
    <x:row r="67">
      <x:c r="A67" t="str">
        <x:v>P0109</x:v>
      </x:c>
      <x:c r="B67" t="n">
        <x:v>8</x:v>
      </x:c>
      <x:c r="C67" t="n">
        <x:v>8</x:v>
      </x:c>
      <x:c r="D67" t="n">
        <x:v>187.04</x:v>
      </x:c>
      <x:c r="E67" t="n">
        <x:v>1496.32</x:v>
      </x:c>
      <x:c r="F67" t="str">
        <x:f>IFERROR(VLOOKUP(A67,Product_Dim!$A$2:$D$481,4,FALSE),"Missing")</x:f>
        <x:v>Packaging</x:v>
      </x:c>
      <x:c r="G67" t="str">
        <x:f>IFERROR(INDEX(Product_Dim!$D$2:$D$481,MATCH(A67,Product_Dim!$A$2:$A$481,0)),"Missing")</x:f>
        <x:v>Packaging</x:v>
      </x:c>
      <x:c r="H67" t="n">
        <x:f>C67*D67</x:f>
        <x:v>1496.32</x:v>
      </x:c>
      <x:c r="I67" t="n">
        <x:f>E67-H67</x:f>
        <x:v>0</x:v>
      </x:c>
    </x:row>
    <x:row r="68">
      <x:c r="A68" t="str">
        <x:v>P0153</x:v>
      </x:c>
      <x:c r="B68" t="n">
        <x:v>8</x:v>
      </x:c>
      <x:c r="C68" t="n">
        <x:v>8</x:v>
      </x:c>
      <x:c r="D68" t="n">
        <x:v>63.18</x:v>
      </x:c>
      <x:c r="E68" t="n">
        <x:v>505.44</x:v>
      </x:c>
      <x:c r="F68" t="str">
        <x:f>IFERROR(VLOOKUP(A68,Product_Dim!$A$2:$D$481,4,FALSE),"Missing")</x:f>
        <x:v>Beverages</x:v>
      </x:c>
      <x:c r="G68" t="str">
        <x:f>IFERROR(INDEX(Product_Dim!$D$2:$D$481,MATCH(A68,Product_Dim!$A$2:$A$481,0)),"Missing")</x:f>
        <x:v>Beverages</x:v>
      </x:c>
      <x:c r="H68" t="n">
        <x:f>C68*D68</x:f>
        <x:v>505.44</x:v>
      </x:c>
      <x:c r="I68" t="n">
        <x:f>E68-H68</x:f>
        <x:v>0</x:v>
      </x:c>
    </x:row>
    <x:row r="69">
      <x:c r="A69" t="str">
        <x:v>P0002</x:v>
      </x:c>
      <x:c r="B69" t="n">
        <x:v>40</x:v>
      </x:c>
      <x:c r="C69" t="n">
        <x:v>40</x:v>
      </x:c>
      <x:c r="D69" t="n">
        <x:v>136.31</x:v>
      </x:c>
      <x:c r="E69" t="n">
        <x:v>5452.4</x:v>
      </x:c>
      <x:c r="F69" t="str">
        <x:f>IFERROR(VLOOKUP(A69,Product_Dim!$A$2:$D$481,4,FALSE),"Missing")</x:f>
        <x:v>Dry Grocery</x:v>
      </x:c>
      <x:c r="G69" t="str">
        <x:f>IFERROR(INDEX(Product_Dim!$D$2:$D$481,MATCH(A69,Product_Dim!$A$2:$A$481,0)),"Missing")</x:f>
        <x:v>Dry Grocery</x:v>
      </x:c>
      <x:c r="H69" t="n">
        <x:f>C69*D69</x:f>
        <x:v>5452.4</x:v>
      </x:c>
      <x:c r="I69" t="n">
        <x:f>E69-H69</x:f>
        <x:v>0</x:v>
      </x:c>
    </x:row>
    <x:row r="70">
      <x:c r="A70" t="str">
        <x:v>P0062</x:v>
      </x:c>
      <x:c r="B70" t="n">
        <x:v>20</x:v>
      </x:c>
      <x:c r="C70" t="n">
        <x:v>20</x:v>
      </x:c>
      <x:c r="D70" t="n">
        <x:v>86.07</x:v>
      </x:c>
      <x:c r="E70" t="n">
        <x:v>1721.4</x:v>
      </x:c>
      <x:c r="F70" t="str">
        <x:f>IFERROR(VLOOKUP(A70,Product_Dim!$A$2:$D$481,4,FALSE),"Missing")</x:f>
        <x:v>Hardware</x:v>
      </x:c>
      <x:c r="G70" t="str">
        <x:f>IFERROR(INDEX(Product_Dim!$D$2:$D$481,MATCH(A70,Product_Dim!$A$2:$A$481,0)),"Missing")</x:f>
        <x:v>Hardware</x:v>
      </x:c>
      <x:c r="H70" t="n">
        <x:f>C70*D70</x:f>
        <x:v>1721.3999999999999</x:v>
      </x:c>
      <x:c r="I70" t="n">
        <x:f>E70-H70</x:f>
        <x:v>2.2737367544323206e-13</x:v>
      </x:c>
    </x:row>
    <x:row r="71">
      <x:c r="A71" t="str">
        <x:v>P0049</x:v>
      </x:c>
      <x:c r="B71" t="n">
        <x:v>15</x:v>
      </x:c>
      <x:c r="C71" t="n">
        <x:v>15</x:v>
      </x:c>
      <x:c r="D71" t="n">
        <x:v>72.67</x:v>
      </x:c>
      <x:c r="E71" t="n">
        <x:v>1090.05</x:v>
      </x:c>
      <x:c r="F71" t="str">
        <x:f>IFERROR(VLOOKUP(A71,Product_Dim!$A$2:$D$481,4,FALSE),"Missing")</x:f>
        <x:v>Beverages</x:v>
      </x:c>
      <x:c r="G71" t="str">
        <x:f>IFERROR(INDEX(Product_Dim!$D$2:$D$481,MATCH(A71,Product_Dim!$A$2:$A$481,0)),"Missing")</x:f>
        <x:v>Beverages</x:v>
      </x:c>
      <x:c r="H71" t="n">
        <x:f>C71*D71</x:f>
        <x:v>1090.05</x:v>
      </x:c>
      <x:c r="I71" t="n">
        <x:f>E71-H71</x:f>
        <x:v>0</x:v>
      </x:c>
    </x:row>
    <x:row r="72">
      <x:c r="A72" t="str">
        <x:v>P0307</x:v>
      </x:c>
      <x:c r="B72" t="n">
        <x:v>10</x:v>
      </x:c>
      <x:c r="C72" t="n">
        <x:v>10</x:v>
      </x:c>
      <x:c r="D72" t="n">
        <x:v>147.8</x:v>
      </x:c>
      <x:c r="E72" t="n">
        <x:v>1478</x:v>
      </x:c>
      <x:c r="F72" t="str">
        <x:f>IFERROR(VLOOKUP(A72,Product_Dim!$A$2:$D$481,4,FALSE),"Missing")</x:f>
        <x:v>Household</x:v>
      </x:c>
      <x:c r="G72" t="str">
        <x:f>IFERROR(INDEX(Product_Dim!$D$2:$D$481,MATCH(A72,Product_Dim!$A$2:$A$481,0)),"Missing")</x:f>
        <x:v>Household</x:v>
      </x:c>
      <x:c r="H72" t="n">
        <x:f>C72*D72</x:f>
        <x:v>1478</x:v>
      </x:c>
      <x:c r="I72" t="n">
        <x:f>E72-H72</x:f>
        <x:v>0</x:v>
      </x:c>
    </x:row>
    <x:row r="73">
      <x:c r="A73" t="str">
        <x:v>P0002</x:v>
      </x:c>
      <x:c r="B73" t="n">
        <x:v>15</x:v>
      </x:c>
      <x:c r="C73" t="n">
        <x:v>15</x:v>
      </x:c>
      <x:c r="D73" t="n">
        <x:v>136.31</x:v>
      </x:c>
      <x:c r="E73" t="n">
        <x:v>2044.65</x:v>
      </x:c>
      <x:c r="F73" t="str">
        <x:f>IFERROR(VLOOKUP(A73,Product_Dim!$A$2:$D$481,4,FALSE),"Missing")</x:f>
        <x:v>Dry Grocery</x:v>
      </x:c>
      <x:c r="G73" t="str">
        <x:f>IFERROR(INDEX(Product_Dim!$D$2:$D$481,MATCH(A73,Product_Dim!$A$2:$A$481,0)),"Missing")</x:f>
        <x:v>Dry Grocery</x:v>
      </x:c>
      <x:c r="H73" t="n">
        <x:f>C73*D73</x:f>
        <x:v>2044.65</x:v>
      </x:c>
      <x:c r="I73" t="n">
        <x:f>E73-H73</x:f>
        <x:v>0</x:v>
      </x:c>
    </x:row>
    <x:row r="74">
      <x:c r="A74" t="str">
        <x:v>P0008</x:v>
      </x:c>
      <x:c r="B74" t="n">
        <x:v>54</x:v>
      </x:c>
      <x:c r="C74" t="n">
        <x:v>0</x:v>
      </x:c>
      <x:c r="D74" t="n">
        <x:v>163.99</x:v>
      </x:c>
      <x:c r="E74" t="str">
        <x:v>0.0</x:v>
      </x:c>
      <x:c r="F74" t="str">
        <x:f>IFERROR(VLOOKUP(A74,Product_Dim!$A$2:$D$481,4,FALSE),"Missing")</x:f>
        <x:v>Cleaning</x:v>
      </x:c>
      <x:c r="G74" t="str">
        <x:f>IFERROR(INDEX(Product_Dim!$D$2:$D$481,MATCH(A74,Product_Dim!$A$2:$A$481,0)),"Missing")</x:f>
        <x:v>Cleaning</x:v>
      </x:c>
      <x:c r="H74" t="n">
        <x:f>C74*D74</x:f>
        <x:v>0</x:v>
      </x:c>
      <x:c r="I74" t="n">
        <x:f>E74-H74</x:f>
        <x:v>0</x:v>
      </x:c>
    </x:row>
    <x:row r="75">
      <x:c r="A75" t="str">
        <x:v>P0078</x:v>
      </x:c>
      <x:c r="B75" t="n">
        <x:v>20</x:v>
      </x:c>
      <x:c r="C75" t="n">
        <x:v>0</x:v>
      </x:c>
      <x:c r="D75" t="n">
        <x:v>130.14</x:v>
      </x:c>
      <x:c r="E75" t="str">
        <x:v>0.0</x:v>
      </x:c>
      <x:c r="F75" t="str">
        <x:f>IFERROR(VLOOKUP(A75,Product_Dim!$A$2:$D$481,4,FALSE),"Missing")</x:f>
        <x:v>Hardware</x:v>
      </x:c>
      <x:c r="G75" t="str">
        <x:f>IFERROR(INDEX(Product_Dim!$D$2:$D$481,MATCH(A75,Product_Dim!$A$2:$A$481,0)),"Missing")</x:f>
        <x:v>Hardware</x:v>
      </x:c>
      <x:c r="H75" t="n">
        <x:f>C75*D75</x:f>
        <x:v>0</x:v>
      </x:c>
      <x:c r="I75" t="n">
        <x:f>E75-H75</x:f>
        <x:v>0</x:v>
      </x:c>
    </x:row>
    <x:row r="76">
      <x:c r="A76" t="str">
        <x:v>P0440</x:v>
      </x:c>
      <x:c r="B76" t="n">
        <x:v>30</x:v>
      </x:c>
      <x:c r="C76" t="n">
        <x:v>30</x:v>
      </x:c>
      <x:c r="D76" t="n">
        <x:v>173.56</x:v>
      </x:c>
      <x:c r="E76" t="n">
        <x:v>5206.8</x:v>
      </x:c>
      <x:c r="F76" t="str">
        <x:f>IFERROR(VLOOKUP(A76,Product_Dim!$A$2:$D$481,4,FALSE),"Missing")</x:f>
        <x:v>Cleaning</x:v>
      </x:c>
      <x:c r="G76" t="str">
        <x:f>IFERROR(INDEX(Product_Dim!$D$2:$D$481,MATCH(A76,Product_Dim!$A$2:$A$481,0)),"Missing")</x:f>
        <x:v>Cleaning</x:v>
      </x:c>
      <x:c r="H76" t="n">
        <x:f>C76*D76</x:f>
        <x:v>5206.8</x:v>
      </x:c>
      <x:c r="I76" t="n">
        <x:f>E76-H76</x:f>
        <x:v>0</x:v>
      </x:c>
    </x:row>
    <x:row r="77">
      <x:c r="A77" t="str">
        <x:v>P0009</x:v>
      </x:c>
      <x:c r="B77" t="n">
        <x:v>8</x:v>
      </x:c>
      <x:c r="C77" t="n">
        <x:v>8</x:v>
      </x:c>
      <x:c r="D77" t="n">
        <x:v>187.38</x:v>
      </x:c>
      <x:c r="E77" t="n">
        <x:v>1499.04</x:v>
      </x:c>
      <x:c r="F77" t="str">
        <x:f>IFERROR(VLOOKUP(A77,Product_Dim!$A$2:$D$481,4,FALSE),"Missing")</x:f>
        <x:v>Beverages</x:v>
      </x:c>
      <x:c r="G77" t="str">
        <x:f>IFERROR(INDEX(Product_Dim!$D$2:$D$481,MATCH(A77,Product_Dim!$A$2:$A$481,0)),"Missing")</x:f>
        <x:v>Beverages</x:v>
      </x:c>
      <x:c r="H77" t="n">
        <x:f>C77*D77</x:f>
        <x:v>1499.04</x:v>
      </x:c>
      <x:c r="I77" t="n">
        <x:f>E77-H77</x:f>
        <x:v>0</x:v>
      </x:c>
    </x:row>
    <x:row r="78">
      <x:c r="A78" t="str">
        <x:v>P0372</x:v>
      </x:c>
      <x:c r="B78" t="n">
        <x:v>15</x:v>
      </x:c>
      <x:c r="C78" t="n">
        <x:v>15</x:v>
      </x:c>
      <x:c r="D78" t="n">
        <x:v>56.14</x:v>
      </x:c>
      <x:c r="E78" t="n">
        <x:v>842.1</x:v>
      </x:c>
      <x:c r="F78" t="str">
        <x:f>IFERROR(VLOOKUP(A78,Product_Dim!$A$2:$D$481,4,FALSE),"Missing")</x:f>
        <x:v>Personal Care</x:v>
      </x:c>
      <x:c r="G78" t="str">
        <x:f>IFERROR(INDEX(Product_Dim!$D$2:$D$481,MATCH(A78,Product_Dim!$A$2:$A$481,0)),"Missing")</x:f>
        <x:v>Personal Care</x:v>
      </x:c>
      <x:c r="H78" t="n">
        <x:f>C78*D78</x:f>
        <x:v>842.1</x:v>
      </x:c>
      <x:c r="I78" t="n">
        <x:f>E78-H78</x:f>
        <x:v>0</x:v>
      </x:c>
    </x:row>
    <x:row r="79">
      <x:c r="A79" t="str">
        <x:v>P0220</x:v>
      </x:c>
      <x:c r="B79" t="n">
        <x:v>5</x:v>
      </x:c>
      <x:c r="C79" t="n">
        <x:v>5</x:v>
      </x:c>
      <x:c r="D79" t="n">
        <x:v>101.93</x:v>
      </x:c>
      <x:c r="E79" t="n">
        <x:v>509.65</x:v>
      </x:c>
      <x:c r="F79" t="str">
        <x:f>IFERROR(VLOOKUP(A79,Product_Dim!$A$2:$D$481,4,FALSE),"Missing")</x:f>
        <x:v>Personal Care</x:v>
      </x:c>
      <x:c r="G79" t="str">
        <x:f>IFERROR(INDEX(Product_Dim!$D$2:$D$481,MATCH(A79,Product_Dim!$A$2:$A$481,0)),"Missing")</x:f>
        <x:v>Personal Care</x:v>
      </x:c>
      <x:c r="H79" t="n">
        <x:f>C79*D79</x:f>
        <x:v>509.65000000000003</x:v>
      </x:c>
      <x:c r="I79" t="n">
        <x:f>E79-H79</x:f>
        <x:v>-5.684341886080802e-14</x:v>
      </x:c>
    </x:row>
    <x:row r="80">
      <x:c r="A80" t="str">
        <x:v>P0002</x:v>
      </x:c>
      <x:c r="B80" t="n">
        <x:v>15</x:v>
      </x:c>
      <x:c r="C80" t="n">
        <x:v>0</x:v>
      </x:c>
      <x:c r="D80" t="n">
        <x:v>136.31</x:v>
      </x:c>
      <x:c r="E80" t="str">
        <x:v>0.0</x:v>
      </x:c>
      <x:c r="F80" t="str">
        <x:f>IFERROR(VLOOKUP(A80,Product_Dim!$A$2:$D$481,4,FALSE),"Missing")</x:f>
        <x:v>Dry Grocery</x:v>
      </x:c>
      <x:c r="G80" t="str">
        <x:f>IFERROR(INDEX(Product_Dim!$D$2:$D$481,MATCH(A80,Product_Dim!$A$2:$A$481,0)),"Missing")</x:f>
        <x:v>Dry Grocery</x:v>
      </x:c>
      <x:c r="H80" t="n">
        <x:f>C80*D80</x:f>
        <x:v>0</x:v>
      </x:c>
      <x:c r="I80" t="n">
        <x:f>E80-H80</x:f>
        <x:v>0</x:v>
      </x:c>
    </x:row>
    <x:row r="81">
      <x:c r="A81" t="str">
        <x:v>P0074</x:v>
      </x:c>
      <x:c r="B81" t="n">
        <x:v>3</x:v>
      </x:c>
      <x:c r="C81" t="n">
        <x:v>3</x:v>
      </x:c>
      <x:c r="D81" t="n">
        <x:v>69.47</x:v>
      </x:c>
      <x:c r="E81" t="n">
        <x:v>208.41</x:v>
      </x:c>
      <x:c r="F81" t="str">
        <x:f>IFERROR(VLOOKUP(A81,Product_Dim!$A$2:$D$481,4,FALSE),"Missing")</x:f>
        <x:v>Dry Grocery</x:v>
      </x:c>
      <x:c r="G81" t="str">
        <x:f>IFERROR(INDEX(Product_Dim!$D$2:$D$481,MATCH(A81,Product_Dim!$A$2:$A$481,0)),"Missing")</x:f>
        <x:v>Dry Grocery</x:v>
      </x:c>
      <x:c r="H81" t="n">
        <x:f>C81*D81</x:f>
        <x:v>208.41</x:v>
      </x:c>
      <x:c r="I81" t="n">
        <x:f>E81-H81</x:f>
        <x:v>0</x:v>
      </x:c>
    </x:row>
    <x:row r="82">
      <x:c r="A82" t="str">
        <x:v>P0002</x:v>
      </x:c>
      <x:c r="B82" t="n">
        <x:v>60</x:v>
      </x:c>
      <x:c r="C82" t="n">
        <x:v>0</x:v>
      </x:c>
      <x:c r="D82" t="n">
        <x:v>136.31</x:v>
      </x:c>
      <x:c r="E82" t="str">
        <x:v>0.0</x:v>
      </x:c>
      <x:c r="F82" t="str">
        <x:f>IFERROR(VLOOKUP(A82,Product_Dim!$A$2:$D$481,4,FALSE),"Missing")</x:f>
        <x:v>Dry Grocery</x:v>
      </x:c>
      <x:c r="G82" t="str">
        <x:f>IFERROR(INDEX(Product_Dim!$D$2:$D$481,MATCH(A82,Product_Dim!$A$2:$A$481,0)),"Missing")</x:f>
        <x:v>Dry Grocery</x:v>
      </x:c>
      <x:c r="H82" t="n">
        <x:f>C82*D82</x:f>
        <x:v>0</x:v>
      </x:c>
      <x:c r="I82" t="n">
        <x:f>E82-H82</x:f>
        <x:v>0</x:v>
      </x:c>
    </x:row>
    <x:row r="83">
      <x:c r="A83" t="str">
        <x:v>P0024</x:v>
      </x:c>
      <x:c r="B83" t="n">
        <x:v>15</x:v>
      </x:c>
      <x:c r="C83" t="n">
        <x:v>15</x:v>
      </x:c>
      <x:c r="D83" t="n">
        <x:v>59.84</x:v>
      </x:c>
      <x:c r="E83" t="n">
        <x:v>897.6</x:v>
      </x:c>
      <x:c r="F83" t="str">
        <x:f>IFERROR(VLOOKUP(A83,Product_Dim!$A$2:$D$481,4,FALSE),"Missing")</x:f>
        <x:v>Cleaning</x:v>
      </x:c>
      <x:c r="G83" t="str">
        <x:f>IFERROR(INDEX(Product_Dim!$D$2:$D$481,MATCH(A83,Product_Dim!$A$2:$A$481,0)),"Missing")</x:f>
        <x:v>Cleaning</x:v>
      </x:c>
      <x:c r="H83" t="n">
        <x:f>C83*D83</x:f>
        <x:v>897.6</x:v>
      </x:c>
      <x:c r="I83" t="n">
        <x:f>E83-H83</x:f>
        <x:v>0</x:v>
      </x:c>
    </x:row>
    <x:row r="84">
      <x:c r="A84" t="str">
        <x:v>P0287</x:v>
      </x:c>
      <x:c r="B84" t="n">
        <x:v>15</x:v>
      </x:c>
      <x:c r="C84" t="n">
        <x:v>15</x:v>
      </x:c>
      <x:c r="D84" t="n">
        <x:v>191.43</x:v>
      </x:c>
      <x:c r="E84" t="n">
        <x:v>2871.45</x:v>
      </x:c>
      <x:c r="F84" t="str">
        <x:f>IFERROR(VLOOKUP(A84,Product_Dim!$A$2:$D$481,4,FALSE),"Missing")</x:f>
        <x:v>Electrical</x:v>
      </x:c>
      <x:c r="G84" t="str">
        <x:f>IFERROR(INDEX(Product_Dim!$D$2:$D$481,MATCH(A84,Product_Dim!$A$2:$A$481,0)),"Missing")</x:f>
        <x:v>Electrical</x:v>
      </x:c>
      <x:c r="H84" t="n">
        <x:f>C84*D84</x:f>
        <x:v>2871.4500000000003</x:v>
      </x:c>
      <x:c r="I84" t="n">
        <x:f>E84-H84</x:f>
        <x:v>-4.547473508864641e-13</x:v>
      </x:c>
    </x:row>
    <x:row r="85">
      <x:c r="A85" t="str">
        <x:v>P0056</x:v>
      </x:c>
      <x:c r="B85" t="n">
        <x:v>30</x:v>
      </x:c>
      <x:c r="C85" t="n">
        <x:v>30</x:v>
      </x:c>
      <x:c r="D85" t="n">
        <x:v>201.61</x:v>
      </x:c>
      <x:c r="E85" t="n">
        <x:v>6048.3</x:v>
      </x:c>
      <x:c r="F85" t="str">
        <x:f>IFERROR(VLOOKUP(A85,Product_Dim!$A$2:$D$481,4,FALSE),"Missing")</x:f>
        <x:v>Cleaning</x:v>
      </x:c>
      <x:c r="G85" t="str">
        <x:f>IFERROR(INDEX(Product_Dim!$D$2:$D$481,MATCH(A85,Product_Dim!$A$2:$A$481,0)),"Missing")</x:f>
        <x:v>Cleaning</x:v>
      </x:c>
      <x:c r="H85" t="n">
        <x:f>C85*D85</x:f>
        <x:v>6048.3</x:v>
      </x:c>
      <x:c r="I85" t="n">
        <x:f>E85-H85</x:f>
        <x:v>0</x:v>
      </x:c>
    </x:row>
    <x:row r="86">
      <x:c r="A86" t="str">
        <x:v>P0014</x:v>
      </x:c>
      <x:c r="B86" t="n">
        <x:v>10</x:v>
      </x:c>
      <x:c r="C86" t="n">
        <x:v>10</x:v>
      </x:c>
      <x:c r="D86" t="n">
        <x:v>33.46</x:v>
      </x:c>
      <x:c r="E86" t="n">
        <x:v>334.6</x:v>
      </x:c>
      <x:c r="F86" t="str">
        <x:f>IFERROR(VLOOKUP(A86,Product_Dim!$A$2:$D$481,4,FALSE),"Missing")</x:f>
        <x:v>Hardware</x:v>
      </x:c>
      <x:c r="G86" t="str">
        <x:f>IFERROR(INDEX(Product_Dim!$D$2:$D$481,MATCH(A86,Product_Dim!$A$2:$A$481,0)),"Missing")</x:f>
        <x:v>Hardware</x:v>
      </x:c>
      <x:c r="H86" t="n">
        <x:f>C86*D86</x:f>
        <x:v>334.6</x:v>
      </x:c>
      <x:c r="I86" t="n">
        <x:f>E86-H86</x:f>
        <x:v>0</x:v>
      </x:c>
    </x:row>
    <x:row r="87">
      <x:c r="A87" t="str">
        <x:v>P0051</x:v>
      </x:c>
      <x:c r="B87" t="n">
        <x:v>5</x:v>
      </x:c>
      <x:c r="C87" t="n">
        <x:v>5</x:v>
      </x:c>
      <x:c r="D87" t="n">
        <x:v>171.16</x:v>
      </x:c>
      <x:c r="E87" t="n">
        <x:v>855.8</x:v>
      </x:c>
      <x:c r="F87" t="str">
        <x:f>IFERROR(VLOOKUP(A87,Product_Dim!$A$2:$D$481,4,FALSE),"Missing")</x:f>
        <x:v>Household</x:v>
      </x:c>
      <x:c r="G87" t="str">
        <x:f>IFERROR(INDEX(Product_Dim!$D$2:$D$481,MATCH(A87,Product_Dim!$A$2:$A$481,0)),"Missing")</x:f>
        <x:v>Household</x:v>
      </x:c>
      <x:c r="H87" t="n">
        <x:f>C87*D87</x:f>
        <x:v>855.8</x:v>
      </x:c>
      <x:c r="I87" t="n">
        <x:f>E87-H87</x:f>
        <x:v>0</x:v>
      </x:c>
    </x:row>
    <x:row r="88">
      <x:c r="A88" t="str">
        <x:v>P0048</x:v>
      </x:c>
      <x:c r="B88" t="n">
        <x:v>8</x:v>
      </x:c>
      <x:c r="C88" t="n">
        <x:v>8</x:v>
      </x:c>
      <x:c r="D88" t="n">
        <x:v>186.21</x:v>
      </x:c>
      <x:c r="E88" t="n">
        <x:v>1489.68</x:v>
      </x:c>
      <x:c r="F88" t="str">
        <x:f>IFERROR(VLOOKUP(A88,Product_Dim!$A$2:$D$481,4,FALSE),"Missing")</x:f>
        <x:v>Cleaning</x:v>
      </x:c>
      <x:c r="G88" t="str">
        <x:f>IFERROR(INDEX(Product_Dim!$D$2:$D$481,MATCH(A88,Product_Dim!$A$2:$A$481,0)),"Missing")</x:f>
        <x:v>Cleaning</x:v>
      </x:c>
      <x:c r="H88" t="n">
        <x:f>C88*D88</x:f>
        <x:v>1489.68</x:v>
      </x:c>
      <x:c r="I88" t="n">
        <x:f>E88-H88</x:f>
        <x:v>0</x:v>
      </x:c>
    </x:row>
    <x:row r="89">
      <x:c r="A89" t="str">
        <x:v>P0092</x:v>
      </x:c>
      <x:c r="B89" t="n">
        <x:v>20</x:v>
      </x:c>
      <x:c r="C89" t="n">
        <x:v>0</x:v>
      </x:c>
      <x:c r="D89" t="n">
        <x:v>75.13</x:v>
      </x:c>
      <x:c r="E89" t="str">
        <x:v>0.0</x:v>
      </x:c>
      <x:c r="F89" t="str">
        <x:f>IFERROR(VLOOKUP(A89,Product_Dim!$A$2:$D$481,4,FALSE),"Missing")</x:f>
        <x:v>Personal Care</x:v>
      </x:c>
      <x:c r="G89" t="str">
        <x:f>IFERROR(INDEX(Product_Dim!$D$2:$D$481,MATCH(A89,Product_Dim!$A$2:$A$481,0)),"Missing")</x:f>
        <x:v>Personal Care</x:v>
      </x:c>
      <x:c r="H89" t="n">
        <x:f>C89*D89</x:f>
        <x:v>0</x:v>
      </x:c>
      <x:c r="I89" t="n">
        <x:f>E89-H89</x:f>
        <x:v>0</x:v>
      </x:c>
    </x:row>
    <x:row r="90">
      <x:c r="A90" t="str">
        <x:v>P0074</x:v>
      </x:c>
      <x:c r="B90" t="n">
        <x:v>30</x:v>
      </x:c>
      <x:c r="C90" t="n">
        <x:v>30</x:v>
      </x:c>
      <x:c r="D90" t="n">
        <x:v>69.47</x:v>
      </x:c>
      <x:c r="E90" t="n">
        <x:v>2084.1</x:v>
      </x:c>
      <x:c r="F90" t="str">
        <x:f>IFERROR(VLOOKUP(A90,Product_Dim!$A$2:$D$481,4,FALSE),"Missing")</x:f>
        <x:v>Dry Grocery</x:v>
      </x:c>
      <x:c r="G90" t="str">
        <x:f>IFERROR(INDEX(Product_Dim!$D$2:$D$481,MATCH(A90,Product_Dim!$A$2:$A$481,0)),"Missing")</x:f>
        <x:v>Dry Grocery</x:v>
      </x:c>
      <x:c r="H90" t="n">
        <x:f>C90*D90</x:f>
        <x:v>2084.1</x:v>
      </x:c>
      <x:c r="I90" t="n">
        <x:f>E90-H90</x:f>
        <x:v>0</x:v>
      </x:c>
    </x:row>
    <x:row r="91">
      <x:c r="A91" t="str">
        <x:v>P0242</x:v>
      </x:c>
      <x:c r="B91" t="n">
        <x:v>20</x:v>
      </x:c>
      <x:c r="C91" t="n">
        <x:v>20</x:v>
      </x:c>
      <x:c r="D91" t="n">
        <x:v>8.56</x:v>
      </x:c>
      <x:c r="E91" t="n">
        <x:v>171.2</x:v>
      </x:c>
      <x:c r="F91" t="str">
        <x:f>IFERROR(VLOOKUP(A91,Product_Dim!$A$2:$D$481,4,FALSE),"Missing")</x:f>
        <x:v>Dry Grocery</x:v>
      </x:c>
      <x:c r="G91" t="str">
        <x:f>IFERROR(INDEX(Product_Dim!$D$2:$D$481,MATCH(A91,Product_Dim!$A$2:$A$481,0)),"Missing")</x:f>
        <x:v>Dry Grocery</x:v>
      </x:c>
      <x:c r="H91" t="n">
        <x:f>C91*D91</x:f>
        <x:v>171.20000000000002</x:v>
      </x:c>
      <x:c r="I91" t="n">
        <x:f>E91-H91</x:f>
        <x:v>-2.842170943040401e-14</x:v>
      </x:c>
    </x:row>
    <x:row r="92">
      <x:c r="A92" t="str">
        <x:v>P0287</x:v>
      </x:c>
      <x:c r="B92" t="n">
        <x:v>10</x:v>
      </x:c>
      <x:c r="C92" t="n">
        <x:v>10</x:v>
      </x:c>
      <x:c r="D92" t="n">
        <x:v>191.43</x:v>
      </x:c>
      <x:c r="E92" t="n">
        <x:v>1914.3</x:v>
      </x:c>
      <x:c r="F92" t="str">
        <x:f>IFERROR(VLOOKUP(A92,Product_Dim!$A$2:$D$481,4,FALSE),"Missing")</x:f>
        <x:v>Electrical</x:v>
      </x:c>
      <x:c r="G92" t="str">
        <x:f>IFERROR(INDEX(Product_Dim!$D$2:$D$481,MATCH(A92,Product_Dim!$A$2:$A$481,0)),"Missing")</x:f>
        <x:v>Electrical</x:v>
      </x:c>
      <x:c r="H92" t="n">
        <x:f>C92*D92</x:f>
        <x:v>1914.3000000000002</x:v>
      </x:c>
      <x:c r="I92" t="n">
        <x:f>E92-H92</x:f>
        <x:v>-2.2737367544323206e-13</x:v>
      </x:c>
    </x:row>
    <x:row r="93">
      <x:c r="A93" t="str">
        <x:v>P0174</x:v>
      </x:c>
      <x:c r="B93" t="n">
        <x:v>10</x:v>
      </x:c>
      <x:c r="C93" t="n">
        <x:v>10</x:v>
      </x:c>
      <x:c r="D93" t="n">
        <x:v>199.05</x:v>
      </x:c>
      <x:c r="E93" t="n">
        <x:v>1990.5</x:v>
      </x:c>
      <x:c r="F93" t="str">
        <x:f>IFERROR(VLOOKUP(A93,Product_Dim!$A$2:$D$481,4,FALSE),"Missing")</x:f>
        <x:v>Hardware</x:v>
      </x:c>
      <x:c r="G93" t="str">
        <x:f>IFERROR(INDEX(Product_Dim!$D$2:$D$481,MATCH(A93,Product_Dim!$A$2:$A$481,0)),"Missing")</x:f>
        <x:v>Hardware</x:v>
      </x:c>
      <x:c r="H93" t="n">
        <x:f>C93*D93</x:f>
        <x:v>1990.5</x:v>
      </x:c>
      <x:c r="I93" t="n">
        <x:f>E93-H93</x:f>
        <x:v>0</x:v>
      </x:c>
    </x:row>
    <x:row r="94">
      <x:c r="A94" t="str">
        <x:v>P0001</x:v>
      </x:c>
      <x:c r="B94" t="n">
        <x:v>20</x:v>
      </x:c>
      <x:c r="C94" t="n">
        <x:v>20</x:v>
      </x:c>
      <x:c r="D94" t="n">
        <x:v>43.13</x:v>
      </x:c>
      <x:c r="E94" t="n">
        <x:v>862.6</x:v>
      </x:c>
      <x:c r="F94" t="str">
        <x:f>IFERROR(VLOOKUP(A94,Product_Dim!$A$2:$D$481,4,FALSE),"Missing")</x:f>
        <x:v>Beverages</x:v>
      </x:c>
      <x:c r="G94" t="str">
        <x:f>IFERROR(INDEX(Product_Dim!$D$2:$D$481,MATCH(A94,Product_Dim!$A$2:$A$481,0)),"Missing")</x:f>
        <x:v>Beverages</x:v>
      </x:c>
      <x:c r="H94" t="n">
        <x:f>C94*D94</x:f>
        <x:v>862.6</x:v>
      </x:c>
      <x:c r="I94" t="n">
        <x:f>E94-H94</x:f>
        <x:v>0</x:v>
      </x:c>
    </x:row>
    <x:row r="95">
      <x:c r="A95" t="str">
        <x:v>P0029</x:v>
      </x:c>
      <x:c r="B95" t="n">
        <x:v>8</x:v>
      </x:c>
      <x:c r="C95" t="n">
        <x:v>8</x:v>
      </x:c>
      <x:c r="D95" t="n">
        <x:v>48.27</x:v>
      </x:c>
      <x:c r="E95" t="n">
        <x:v>386.16</x:v>
      </x:c>
      <x:c r="F95" t="str">
        <x:f>IFERROR(VLOOKUP(A95,Product_Dim!$A$2:$D$481,4,FALSE),"Missing")</x:f>
        <x:v>Packaging</x:v>
      </x:c>
      <x:c r="G95" t="str">
        <x:f>IFERROR(INDEX(Product_Dim!$D$2:$D$481,MATCH(A95,Product_Dim!$A$2:$A$481,0)),"Missing")</x:f>
        <x:v>Packaging</x:v>
      </x:c>
      <x:c r="H95" t="n">
        <x:f>C95*D95</x:f>
        <x:v>386.16</x:v>
      </x:c>
      <x:c r="I95" t="n">
        <x:f>E95-H95</x:f>
        <x:v>0</x:v>
      </x:c>
    </x:row>
    <x:row r="96">
      <x:c r="A96" t="str">
        <x:v>P0244</x:v>
      </x:c>
      <x:c r="B96" t="n">
        <x:v>5</x:v>
      </x:c>
      <x:c r="C96" t="n">
        <x:v>5</x:v>
      </x:c>
      <x:c r="D96" t="n">
        <x:v>134.95</x:v>
      </x:c>
      <x:c r="E96" t="n">
        <x:v>674.75</x:v>
      </x:c>
      <x:c r="F96" t="str">
        <x:f>IFERROR(VLOOKUP(A96,Product_Dim!$A$2:$D$481,4,FALSE),"Missing")</x:f>
        <x:v>Personal Care</x:v>
      </x:c>
      <x:c r="G96" t="str">
        <x:f>IFERROR(INDEX(Product_Dim!$D$2:$D$481,MATCH(A96,Product_Dim!$A$2:$A$481,0)),"Missing")</x:f>
        <x:v>Personal Care</x:v>
      </x:c>
      <x:c r="H96" t="n">
        <x:f>C96*D96</x:f>
        <x:v>674.75</x:v>
      </x:c>
      <x:c r="I96" t="n">
        <x:f>E96-H96</x:f>
        <x:v>0</x:v>
      </x:c>
    </x:row>
    <x:row r="97">
      <x:c r="A97" t="str">
        <x:v>P0064</x:v>
      </x:c>
      <x:c r="B97" t="n">
        <x:v>15</x:v>
      </x:c>
      <x:c r="C97" t="n">
        <x:v>0</x:v>
      </x:c>
      <x:c r="D97" t="n">
        <x:v>57.46</x:v>
      </x:c>
      <x:c r="E97" t="n">
        <x:v>0</x:v>
      </x:c>
      <x:c r="F97" t="str">
        <x:f>IFERROR(VLOOKUP(A97,Product_Dim!$A$2:$D$481,4,FALSE),"Missing")</x:f>
        <x:v>Cleaning</x:v>
      </x:c>
      <x:c r="G97" t="str">
        <x:f>IFERROR(INDEX(Product_Dim!$D$2:$D$481,MATCH(A97,Product_Dim!$A$2:$A$481,0)),"Missing")</x:f>
        <x:v>Cleaning</x:v>
      </x:c>
      <x:c r="H97" t="n">
        <x:f>C97*D97</x:f>
        <x:v>0</x:v>
      </x:c>
      <x:c r="I97" t="n">
        <x:f>E97-H97</x:f>
        <x:v>0</x:v>
      </x:c>
    </x:row>
    <x:row r="98">
      <x:c r="A98" t="str">
        <x:v>P0033</x:v>
      </x:c>
      <x:c r="B98" t="n">
        <x:v>8</x:v>
      </x:c>
      <x:c r="C98" t="n">
        <x:v>0</x:v>
      </x:c>
      <x:c r="D98" t="n">
        <x:v>59.24</x:v>
      </x:c>
      <x:c r="E98" t="n">
        <x:v>0</x:v>
      </x:c>
      <x:c r="F98" t="str">
        <x:f>IFERROR(VLOOKUP(A98,Product_Dim!$A$2:$D$481,4,FALSE),"Missing")</x:f>
        <x:v>Beverages</x:v>
      </x:c>
      <x:c r="G98" t="str">
        <x:f>IFERROR(INDEX(Product_Dim!$D$2:$D$481,MATCH(A98,Product_Dim!$A$2:$A$481,0)),"Missing")</x:f>
        <x:v>Beverages</x:v>
      </x:c>
      <x:c r="H98" t="n">
        <x:f>C98*D98</x:f>
        <x:v>0</x:v>
      </x:c>
      <x:c r="I98" t="n">
        <x:f>E98-H98</x:f>
        <x:v>0</x:v>
      </x:c>
    </x:row>
    <x:row r="99">
      <x:c r="A99" t="str">
        <x:v>P0278</x:v>
      </x:c>
      <x:c r="B99" t="n">
        <x:v>8</x:v>
      </x:c>
      <x:c r="C99" t="n">
        <x:v>0</x:v>
      </x:c>
      <x:c r="D99" t="n">
        <x:v>176.37</x:v>
      </x:c>
      <x:c r="E99" t="n">
        <x:v>0</x:v>
      </x:c>
      <x:c r="F99" t="str">
        <x:f>IFERROR(VLOOKUP(A99,Product_Dim!$A$2:$D$481,4,FALSE),"Missing")</x:f>
        <x:v>Hardware</x:v>
      </x:c>
      <x:c r="G99" t="str">
        <x:f>IFERROR(INDEX(Product_Dim!$D$2:$D$481,MATCH(A99,Product_Dim!$A$2:$A$481,0)),"Missing")</x:f>
        <x:v>Hardware</x:v>
      </x:c>
      <x:c r="H99" t="n">
        <x:f>C99*D99</x:f>
        <x:v>0</x:v>
      </x:c>
      <x:c r="I99" t="n">
        <x:f>E99-H99</x:f>
        <x:v>0</x:v>
      </x:c>
    </x:row>
    <x:row r="100">
      <x:c r="A100" t="str">
        <x:v>P0022</x:v>
      </x:c>
      <x:c r="B100" t="n">
        <x:v>10</x:v>
      </x:c>
      <x:c r="C100" t="n">
        <x:v>10</x:v>
      </x:c>
      <x:c r="D100" t="n">
        <x:v>102.68</x:v>
      </x:c>
      <x:c r="E100" t="n">
        <x:v>1026.8</x:v>
      </x:c>
      <x:c r="F100" t="str">
        <x:f>IFERROR(VLOOKUP(A100,Product_Dim!$A$2:$D$481,4,FALSE),"Missing")</x:f>
        <x:v>Hardware</x:v>
      </x:c>
      <x:c r="G100" t="str">
        <x:f>IFERROR(INDEX(Product_Dim!$D$2:$D$481,MATCH(A100,Product_Dim!$A$2:$A$481,0)),"Missing")</x:f>
        <x:v>Hardware</x:v>
      </x:c>
      <x:c r="H100" t="n">
        <x:f>C100*D100</x:f>
        <x:v>1026.8000000000002</x:v>
      </x:c>
      <x:c r="I100" t="n">
        <x:f>E100-H100</x:f>
        <x:v>-2.2737367544323206e-13</x:v>
      </x:c>
    </x:row>
    <x:row r="101">
      <x:c r="A101" t="str">
        <x:v>P0155</x:v>
      </x:c>
      <x:c r="B101" t="n">
        <x:v>15</x:v>
      </x:c>
      <x:c r="C101" t="n">
        <x:v>15</x:v>
      </x:c>
      <x:c r="D101" t="n">
        <x:v>161.41</x:v>
      </x:c>
      <x:c r="E101" t="n">
        <x:v>2421.15</x:v>
      </x:c>
      <x:c r="F101" t="str">
        <x:f>IFERROR(VLOOKUP(A101,Product_Dim!$A$2:$D$481,4,FALSE),"Missing")</x:f>
        <x:v>Household</x:v>
      </x:c>
      <x:c r="G101" t="str">
        <x:f>IFERROR(INDEX(Product_Dim!$D$2:$D$481,MATCH(A101,Product_Dim!$A$2:$A$481,0)),"Missing")</x:f>
        <x:v>Household</x:v>
      </x:c>
      <x:c r="H101" t="n">
        <x:f>C101*D101</x:f>
        <x:v>2421.15</x:v>
      </x:c>
      <x:c r="I101" t="n">
        <x:f>E101-H101</x:f>
        <x:v>0</x:v>
      </x:c>
    </x:row>
    <x:row r="102">
      <x:c r="A102" t="str">
        <x:v>P0374</x:v>
      </x:c>
      <x:c r="B102" t="n">
        <x:v>3</x:v>
      </x:c>
      <x:c r="C102" t="n">
        <x:v>3</x:v>
      </x:c>
      <x:c r="D102" t="n">
        <x:v>30.26</x:v>
      </x:c>
      <x:c r="E102" t="n">
        <x:v>90.78</x:v>
      </x:c>
      <x:c r="F102" t="str">
        <x:f>IFERROR(VLOOKUP(A102,Product_Dim!$A$2:$D$481,4,FALSE),"Missing")</x:f>
        <x:v>Hardware</x:v>
      </x:c>
      <x:c r="G102" t="str">
        <x:f>IFERROR(INDEX(Product_Dim!$D$2:$D$481,MATCH(A102,Product_Dim!$A$2:$A$481,0)),"Missing")</x:f>
        <x:v>Hardware</x:v>
      </x:c>
      <x:c r="H102" t="n">
        <x:f>C102*D102</x:f>
        <x:v>90.78</x:v>
      </x:c>
      <x:c r="I102" t="n">
        <x:f>E102-H102</x:f>
        <x:v>0</x:v>
      </x:c>
    </x:row>
    <x:row r="103">
      <x:c r="A103" t="str">
        <x:v>P0221</x:v>
      </x:c>
      <x:c r="B103" t="n">
        <x:v>20</x:v>
      </x:c>
      <x:c r="C103" t="n">
        <x:v>20</x:v>
      </x:c>
      <x:c r="D103" t="n">
        <x:v>111.08</x:v>
      </x:c>
      <x:c r="E103" t="n">
        <x:v>2221.6</x:v>
      </x:c>
      <x:c r="F103" t="str">
        <x:f>IFERROR(VLOOKUP(A103,Product_Dim!$A$2:$D$481,4,FALSE),"Missing")</x:f>
        <x:v>Packaging</x:v>
      </x:c>
      <x:c r="G103" t="str">
        <x:f>IFERROR(INDEX(Product_Dim!$D$2:$D$481,MATCH(A103,Product_Dim!$A$2:$A$481,0)),"Missing")</x:f>
        <x:v>Packaging</x:v>
      </x:c>
      <x:c r="H103" t="n">
        <x:f>C103*D103</x:f>
        <x:v>2221.6</x:v>
      </x:c>
      <x:c r="I103" t="n">
        <x:f>E103-H103</x:f>
        <x:v>0</x:v>
      </x:c>
    </x:row>
    <x:row r="104">
      <x:c r="A104" t="str">
        <x:v>P0236</x:v>
      </x:c>
      <x:c r="B104" t="n">
        <x:v>20</x:v>
      </x:c>
      <x:c r="C104" t="n">
        <x:v>20</x:v>
      </x:c>
      <x:c r="D104" t="n">
        <x:v>72.11</x:v>
      </x:c>
      <x:c r="E104" t="n">
        <x:v>1442.2</x:v>
      </x:c>
      <x:c r="F104" t="str">
        <x:f>IFERROR(VLOOKUP(A104,Product_Dim!$A$2:$D$481,4,FALSE),"Missing")</x:f>
        <x:v>Personal Care</x:v>
      </x:c>
      <x:c r="G104" t="str">
        <x:f>IFERROR(INDEX(Product_Dim!$D$2:$D$481,MATCH(A104,Product_Dim!$A$2:$A$481,0)),"Missing")</x:f>
        <x:v>Personal Care</x:v>
      </x:c>
      <x:c r="H104" t="n">
        <x:f>C104*D104</x:f>
        <x:v>1442.2</x:v>
      </x:c>
      <x:c r="I104" t="n">
        <x:f>E104-H104</x:f>
        <x:v>0</x:v>
      </x:c>
    </x:row>
    <x:row r="105">
      <x:c r="A105" t="str">
        <x:v>P0381</x:v>
      </x:c>
      <x:c r="B105" t="n">
        <x:v>20</x:v>
      </x:c>
      <x:c r="C105" t="n">
        <x:v>20</x:v>
      </x:c>
      <x:c r="D105" t="n">
        <x:v>98.35</x:v>
      </x:c>
      <x:c r="E105" t="n">
        <x:v>1967</x:v>
      </x:c>
      <x:c r="F105" t="str">
        <x:f>IFERROR(VLOOKUP(A105,Product_Dim!$A$2:$D$481,4,FALSE),"Missing")</x:f>
        <x:v>Packaging</x:v>
      </x:c>
      <x:c r="G105" t="str">
        <x:f>IFERROR(INDEX(Product_Dim!$D$2:$D$481,MATCH(A105,Product_Dim!$A$2:$A$481,0)),"Missing")</x:f>
        <x:v>Packaging</x:v>
      </x:c>
      <x:c r="H105" t="n">
        <x:f>C105*D105</x:f>
        <x:v>1967</x:v>
      </x:c>
      <x:c r="I105" t="n">
        <x:f>E105-H105</x:f>
        <x:v>0</x:v>
      </x:c>
    </x:row>
    <x:row r="106">
      <x:c r="A106" t="str">
        <x:v>P0009</x:v>
      </x:c>
      <x:c r="B106" t="n">
        <x:v>5</x:v>
      </x:c>
      <x:c r="C106" t="n">
        <x:v>5</x:v>
      </x:c>
      <x:c r="D106" t="n">
        <x:v>187.38</x:v>
      </x:c>
      <x:c r="E106" t="n">
        <x:v>936.9</x:v>
      </x:c>
      <x:c r="F106" t="str">
        <x:f>IFERROR(VLOOKUP(A106,Product_Dim!$A$2:$D$481,4,FALSE),"Missing")</x:f>
        <x:v>Beverages</x:v>
      </x:c>
      <x:c r="G106" t="str">
        <x:f>IFERROR(INDEX(Product_Dim!$D$2:$D$481,MATCH(A106,Product_Dim!$A$2:$A$481,0)),"Missing")</x:f>
        <x:v>Beverages</x:v>
      </x:c>
      <x:c r="H106" t="n">
        <x:f>C106*D106</x:f>
        <x:v>936.9</x:v>
      </x:c>
      <x:c r="I106" t="n">
        <x:f>E106-H106</x:f>
        <x:v>0</x:v>
      </x:c>
    </x:row>
    <x:row r="107">
      <x:c r="A107" t="str">
        <x:v>P0174</x:v>
      </x:c>
      <x:c r="B107" t="n">
        <x:v>15</x:v>
      </x:c>
      <x:c r="C107" t="n">
        <x:v>15</x:v>
      </x:c>
      <x:c r="D107" t="n">
        <x:v>199.05</x:v>
      </x:c>
      <x:c r="E107" t="n">
        <x:v>2985.75</x:v>
      </x:c>
      <x:c r="F107" t="str">
        <x:f>IFERROR(VLOOKUP(A107,Product_Dim!$A$2:$D$481,4,FALSE),"Missing")</x:f>
        <x:v>Hardware</x:v>
      </x:c>
      <x:c r="G107" t="str">
        <x:f>IFERROR(INDEX(Product_Dim!$D$2:$D$481,MATCH(A107,Product_Dim!$A$2:$A$481,0)),"Missing")</x:f>
        <x:v>Hardware</x:v>
      </x:c>
      <x:c r="H107" t="n">
        <x:f>C107*D107</x:f>
        <x:v>2985.75</x:v>
      </x:c>
      <x:c r="I107" t="n">
        <x:f>E107-H107</x:f>
        <x:v>0</x:v>
      </x:c>
    </x:row>
    <x:row r="108">
      <x:c r="A108" t="str">
        <x:v>P0084</x:v>
      </x:c>
      <x:c r="B108" t="n">
        <x:v>15</x:v>
      </x:c>
      <x:c r="C108" t="n">
        <x:v>15</x:v>
      </x:c>
      <x:c r="D108" t="n">
        <x:v>141.07</x:v>
      </x:c>
      <x:c r="E108" t="n">
        <x:v>2116.05</x:v>
      </x:c>
      <x:c r="F108" t="str">
        <x:f>IFERROR(VLOOKUP(A108,Product_Dim!$A$2:$D$481,4,FALSE),"Missing")</x:f>
        <x:v>Personal Care</x:v>
      </x:c>
      <x:c r="G108" t="str">
        <x:f>IFERROR(INDEX(Product_Dim!$D$2:$D$481,MATCH(A108,Product_Dim!$A$2:$A$481,0)),"Missing")</x:f>
        <x:v>Personal Care</x:v>
      </x:c>
      <x:c r="H108" t="n">
        <x:f>C108*D108</x:f>
        <x:v>2116.0499999999997</x:v>
      </x:c>
      <x:c r="I108" t="n">
        <x:f>E108-H108</x:f>
        <x:v>4.547473508864641e-13</x:v>
      </x:c>
    </x:row>
    <x:row r="109">
      <x:c r="A109" t="str">
        <x:v>P0273</x:v>
      </x:c>
      <x:c r="B109" t="n">
        <x:v>3</x:v>
      </x:c>
      <x:c r="C109" t="n">
        <x:v>3</x:v>
      </x:c>
      <x:c r="D109" t="n">
        <x:v>182.18</x:v>
      </x:c>
      <x:c r="E109" t="n">
        <x:v>546.54</x:v>
      </x:c>
      <x:c r="F109" t="str">
        <x:f>IFERROR(VLOOKUP(A109,Product_Dim!$A$2:$D$481,4,FALSE),"Missing")</x:f>
        <x:v>Beverages</x:v>
      </x:c>
      <x:c r="G109" t="str">
        <x:f>IFERROR(INDEX(Product_Dim!$D$2:$D$481,MATCH(A109,Product_Dim!$A$2:$A$481,0)),"Missing")</x:f>
        <x:v>Beverages</x:v>
      </x:c>
      <x:c r="H109" t="n">
        <x:f>C109*D109</x:f>
        <x:v>546.54</x:v>
      </x:c>
      <x:c r="I109" t="n">
        <x:f>E109-H109</x:f>
        <x:v>0</x:v>
      </x:c>
    </x:row>
    <x:row r="110">
      <x:c r="A110" t="str">
        <x:v>P0112</x:v>
      </x:c>
      <x:c r="B110" t="n">
        <x:v>3</x:v>
      </x:c>
      <x:c r="C110" t="n">
        <x:v>3</x:v>
      </x:c>
      <x:c r="D110" t="n">
        <x:v>159.73</x:v>
      </x:c>
      <x:c r="E110" t="n">
        <x:v>479.19</x:v>
      </x:c>
      <x:c r="F110" t="str">
        <x:f>IFERROR(VLOOKUP(A110,Product_Dim!$A$2:$D$481,4,FALSE),"Missing")</x:f>
        <x:v>Cleaning</x:v>
      </x:c>
      <x:c r="G110" t="str">
        <x:f>IFERROR(INDEX(Product_Dim!$D$2:$D$481,MATCH(A110,Product_Dim!$A$2:$A$481,0)),"Missing")</x:f>
        <x:v>Cleaning</x:v>
      </x:c>
      <x:c r="H110" t="n">
        <x:f>C110*D110</x:f>
        <x:v>479.18999999999994</x:v>
      </x:c>
      <x:c r="I110" t="n">
        <x:f>E110-H110</x:f>
        <x:v>5.684341886080802e-14</x:v>
      </x:c>
    </x:row>
    <x:row r="111">
      <x:c r="A111" t="str">
        <x:v>P0159</x:v>
      </x:c>
      <x:c r="B111" t="n">
        <x:v>8</x:v>
      </x:c>
      <x:c r="C111" t="n">
        <x:v>8</x:v>
      </x:c>
      <x:c r="D111" t="n">
        <x:v>175.56</x:v>
      </x:c>
      <x:c r="E111" t="n">
        <x:v>1404.48</x:v>
      </x:c>
      <x:c r="F111" t="str">
        <x:f>IFERROR(VLOOKUP(A111,Product_Dim!$A$2:$D$481,4,FALSE),"Missing")</x:f>
        <x:v>Electrical</x:v>
      </x:c>
      <x:c r="G111" t="str">
        <x:f>IFERROR(INDEX(Product_Dim!$D$2:$D$481,MATCH(A111,Product_Dim!$A$2:$A$481,0)),"Missing")</x:f>
        <x:v>Electrical</x:v>
      </x:c>
      <x:c r="H111" t="n">
        <x:f>C111*D111</x:f>
        <x:v>1404.48</x:v>
      </x:c>
      <x:c r="I111" t="n">
        <x:f>E111-H111</x:f>
        <x:v>0</x:v>
      </x:c>
    </x:row>
    <x:row r="112">
      <x:c r="A112" t="str">
        <x:v>P0002</x:v>
      </x:c>
      <x:c r="B112" t="n">
        <x:v>10</x:v>
      </x:c>
      <x:c r="C112" t="n">
        <x:v>0</x:v>
      </x:c>
      <x:c r="D112" t="n">
        <x:v>136.31</x:v>
      </x:c>
      <x:c r="E112" t="str">
        <x:v>0.0</x:v>
      </x:c>
      <x:c r="F112" t="str">
        <x:f>IFERROR(VLOOKUP(A112,Product_Dim!$A$2:$D$481,4,FALSE),"Missing")</x:f>
        <x:v>Dry Grocery</x:v>
      </x:c>
      <x:c r="G112" t="str">
        <x:f>IFERROR(INDEX(Product_Dim!$D$2:$D$481,MATCH(A112,Product_Dim!$A$2:$A$481,0)),"Missing")</x:f>
        <x:v>Dry Grocery</x:v>
      </x:c>
      <x:c r="H112" t="n">
        <x:f>C112*D112</x:f>
        <x:v>0</x:v>
      </x:c>
      <x:c r="I112" t="n">
        <x:f>E112-H112</x:f>
        <x:v>0</x:v>
      </x:c>
    </x:row>
    <x:row r="113">
      <x:c r="A113" t="str">
        <x:v>P0043</x:v>
      </x:c>
      <x:c r="B113" t="n">
        <x:v>5</x:v>
      </x:c>
      <x:c r="C113" t="n">
        <x:v>0</x:v>
      </x:c>
      <x:c r="D113" t="n">
        <x:v>48.93</x:v>
      </x:c>
      <x:c r="E113" t="str">
        <x:v>0.0</x:v>
      </x:c>
      <x:c r="F113" t="str">
        <x:f>IFERROR(VLOOKUP(A113,Product_Dim!$A$2:$D$481,4,FALSE),"Missing")</x:f>
        <x:v>Household</x:v>
      </x:c>
      <x:c r="G113" t="str">
        <x:f>IFERROR(INDEX(Product_Dim!$D$2:$D$481,MATCH(A113,Product_Dim!$A$2:$A$481,0)),"Missing")</x:f>
        <x:v>Household</x:v>
      </x:c>
      <x:c r="H113" t="n">
        <x:f>C113*D113</x:f>
        <x:v>0</x:v>
      </x:c>
      <x:c r="I113" t="n">
        <x:f>E113-H113</x:f>
        <x:v>0</x:v>
      </x:c>
    </x:row>
    <x:row r="114">
      <x:c r="A114" t="str">
        <x:v>P0035</x:v>
      </x:c>
      <x:c r="B114" t="n">
        <x:v>30</x:v>
      </x:c>
      <x:c r="C114" t="n">
        <x:v>30</x:v>
      </x:c>
      <x:c r="D114" t="n">
        <x:v>188.85</x:v>
      </x:c>
      <x:c r="E114" t="n">
        <x:v>5665.5</x:v>
      </x:c>
      <x:c r="F114" t="str">
        <x:f>IFERROR(VLOOKUP(A114,Product_Dim!$A$2:$D$481,4,FALSE),"Missing")</x:f>
        <x:v>Household</x:v>
      </x:c>
      <x:c r="G114" t="str">
        <x:f>IFERROR(INDEX(Product_Dim!$D$2:$D$481,MATCH(A114,Product_Dim!$A$2:$A$481,0)),"Missing")</x:f>
        <x:v>Household</x:v>
      </x:c>
      <x:c r="H114" t="n">
        <x:f>C114*D114</x:f>
        <x:v>5665.5</x:v>
      </x:c>
      <x:c r="I114" t="n">
        <x:f>E114-H114</x:f>
        <x:v>0</x:v>
      </x:c>
    </x:row>
    <x:row r="115">
      <x:c r="A115" t="str">
        <x:v>P0183</x:v>
      </x:c>
      <x:c r="B115" t="n">
        <x:v>20</x:v>
      </x:c>
      <x:c r="C115" t="n">
        <x:v>20</x:v>
      </x:c>
      <x:c r="D115" t="n">
        <x:v>169.52</x:v>
      </x:c>
      <x:c r="E115" t="n">
        <x:v>3390.4</x:v>
      </x:c>
      <x:c r="F115" t="str">
        <x:f>IFERROR(VLOOKUP(A115,Product_Dim!$A$2:$D$481,4,FALSE),"Missing")</x:f>
        <x:v>Electrical</x:v>
      </x:c>
      <x:c r="G115" t="str">
        <x:f>IFERROR(INDEX(Product_Dim!$D$2:$D$481,MATCH(A115,Product_Dim!$A$2:$A$481,0)),"Missing")</x:f>
        <x:v>Electrical</x:v>
      </x:c>
      <x:c r="H115" t="n">
        <x:f>C115*D115</x:f>
        <x:v>3390.4</x:v>
      </x:c>
      <x:c r="I115" t="n">
        <x:f>E115-H115</x:f>
        <x:v>0</x:v>
      </x:c>
    </x:row>
    <x:row r="116">
      <x:c r="A116" t="str">
        <x:v>P0470</x:v>
      </x:c>
      <x:c r="B116" t="n">
        <x:v>1</x:v>
      </x:c>
      <x:c r="C116" t="n">
        <x:v>1</x:v>
      </x:c>
      <x:c r="D116" t="n">
        <x:v>44.34</x:v>
      </x:c>
      <x:c r="E116" t="n">
        <x:v>44.34</x:v>
      </x:c>
      <x:c r="F116" t="str">
        <x:f>IFERROR(VLOOKUP(A116,Product_Dim!$A$2:$D$481,4,FALSE),"Missing")</x:f>
        <x:v>Hardware</x:v>
      </x:c>
      <x:c r="G116" t="str">
        <x:f>IFERROR(INDEX(Product_Dim!$D$2:$D$481,MATCH(A116,Product_Dim!$A$2:$A$481,0)),"Missing")</x:f>
        <x:v>Hardware</x:v>
      </x:c>
      <x:c r="H116" t="n">
        <x:f>C116*D116</x:f>
        <x:v>44.34</x:v>
      </x:c>
      <x:c r="I116" t="n">
        <x:f>E116-H116</x:f>
        <x:v>0</x:v>
      </x:c>
    </x:row>
    <x:row r="117">
      <x:c r="A117" t="str">
        <x:v>P0002</x:v>
      </x:c>
      <x:c r="B117" t="n">
        <x:v>3</x:v>
      </x:c>
      <x:c r="C117" t="n">
        <x:v>3</x:v>
      </x:c>
      <x:c r="D117" t="n">
        <x:v>136.31</x:v>
      </x:c>
      <x:c r="E117" t="n">
        <x:v>408.93</x:v>
      </x:c>
      <x:c r="F117" t="str">
        <x:f>IFERROR(VLOOKUP(A117,Product_Dim!$A$2:$D$481,4,FALSE),"Missing")</x:f>
        <x:v>Dry Grocery</x:v>
      </x:c>
      <x:c r="G117" t="str">
        <x:f>IFERROR(INDEX(Product_Dim!$D$2:$D$481,MATCH(A117,Product_Dim!$A$2:$A$481,0)),"Missing")</x:f>
        <x:v>Dry Grocery</x:v>
      </x:c>
      <x:c r="H117" t="n">
        <x:f>C117*D117</x:f>
        <x:v>408.93</x:v>
      </x:c>
      <x:c r="I117" t="n">
        <x:f>E117-H117</x:f>
        <x:v>0</x:v>
      </x:c>
    </x:row>
    <x:row r="118">
      <x:c r="A118" t="str">
        <x:v>P0020</x:v>
      </x:c>
      <x:c r="B118" t="n">
        <x:v>15</x:v>
      </x:c>
      <x:c r="C118" t="n">
        <x:v>15</x:v>
      </x:c>
      <x:c r="D118" t="n">
        <x:v>8.61</x:v>
      </x:c>
      <x:c r="E118" t="n">
        <x:v>129.15</x:v>
      </x:c>
      <x:c r="F118" t="str">
        <x:f>IFERROR(VLOOKUP(A118,Product_Dim!$A$2:$D$481,4,FALSE),"Missing")</x:f>
        <x:v>Personal Care</x:v>
      </x:c>
      <x:c r="G118" t="str">
        <x:f>IFERROR(INDEX(Product_Dim!$D$2:$D$481,MATCH(A118,Product_Dim!$A$2:$A$481,0)),"Missing")</x:f>
        <x:v>Personal Care</x:v>
      </x:c>
      <x:c r="H118" t="n">
        <x:f>C118*D118</x:f>
        <x:v>129.14999999999998</x:v>
      </x:c>
      <x:c r="I118" t="n">
        <x:f>E118-H118</x:f>
        <x:v>2.842170943040401e-14</x:v>
      </x:c>
    </x:row>
    <x:row r="119">
      <x:c r="A119" t="str">
        <x:v>P0289</x:v>
      </x:c>
      <x:c r="B119" t="n">
        <x:v>5</x:v>
      </x:c>
      <x:c r="C119" t="n">
        <x:v>5</x:v>
      </x:c>
      <x:c r="D119" t="n">
        <x:v>82.53</x:v>
      </x:c>
      <x:c r="E119" t="n">
        <x:v>412.65</x:v>
      </x:c>
      <x:c r="F119" t="str">
        <x:f>IFERROR(VLOOKUP(A119,Product_Dim!$A$2:$D$481,4,FALSE),"Missing")</x:f>
        <x:v>Beverages</x:v>
      </x:c>
      <x:c r="G119" t="str">
        <x:f>IFERROR(INDEX(Product_Dim!$D$2:$D$481,MATCH(A119,Product_Dim!$A$2:$A$481,0)),"Missing")</x:f>
        <x:v>Beverages</x:v>
      </x:c>
      <x:c r="H119" t="n">
        <x:f>C119*D119</x:f>
        <x:v>412.65</x:v>
      </x:c>
      <x:c r="I119" t="n">
        <x:f>E119-H119</x:f>
        <x:v>0</x:v>
      </x:c>
    </x:row>
    <x:row r="120">
      <x:c r="A120" t="str">
        <x:v>P0327</x:v>
      </x:c>
      <x:c r="B120" t="n">
        <x:v>20</x:v>
      </x:c>
      <x:c r="C120" t="n">
        <x:v>20</x:v>
      </x:c>
      <x:c r="D120" t="n">
        <x:v>147.39</x:v>
      </x:c>
      <x:c r="E120" t="n">
        <x:v>2947.8</x:v>
      </x:c>
      <x:c r="F120" t="str">
        <x:f>IFERROR(VLOOKUP(A120,Product_Dim!$A$2:$D$481,4,FALSE),"Missing")</x:f>
        <x:v>Electrical</x:v>
      </x:c>
      <x:c r="G120" t="str">
        <x:f>IFERROR(INDEX(Product_Dim!$D$2:$D$481,MATCH(A120,Product_Dim!$A$2:$A$481,0)),"Missing")</x:f>
        <x:v>Electrical</x:v>
      </x:c>
      <x:c r="H120" t="n">
        <x:f>C120*D120</x:f>
        <x:v>2947.7999999999997</x:v>
      </x:c>
      <x:c r="I120" t="n">
        <x:f>E120-H120</x:f>
        <x:v>4.547473508864641e-13</x:v>
      </x:c>
    </x:row>
    <x:row r="121">
      <x:c r="A121" t="str">
        <x:v>P0137</x:v>
      </x:c>
      <x:c r="B121" t="n">
        <x:v>5</x:v>
      </x:c>
      <x:c r="C121" t="n">
        <x:v>5</x:v>
      </x:c>
      <x:c r="D121" t="n">
        <x:v>82.49</x:v>
      </x:c>
      <x:c r="E121" t="n">
        <x:v>412.45</x:v>
      </x:c>
      <x:c r="F121" t="str">
        <x:f>IFERROR(VLOOKUP(A121,Product_Dim!$A$2:$D$481,4,FALSE),"Missing")</x:f>
        <x:v>Beverages</x:v>
      </x:c>
      <x:c r="G121" t="str">
        <x:f>IFERROR(INDEX(Product_Dim!$D$2:$D$481,MATCH(A121,Product_Dim!$A$2:$A$481,0)),"Missing")</x:f>
        <x:v>Beverages</x:v>
      </x:c>
      <x:c r="H121" t="n">
        <x:f>C121*D121</x:f>
        <x:v>412.45</x:v>
      </x:c>
      <x:c r="I121" t="n">
        <x:f>E121-H121</x:f>
        <x:v>0</x:v>
      </x:c>
    </x:row>
    <x:row r="122">
      <x:c r="A122" t="str">
        <x:v>P0104</x:v>
      </x:c>
      <x:c r="B122" t="n">
        <x:v>5</x:v>
      </x:c>
      <x:c r="C122" t="n">
        <x:v>5</x:v>
      </x:c>
      <x:c r="D122" t="n">
        <x:v>17.03</x:v>
      </x:c>
      <x:c r="E122" t="n">
        <x:v>85.15</x:v>
      </x:c>
      <x:c r="F122" t="str">
        <x:f>IFERROR(VLOOKUP(A122,Product_Dim!$A$2:$D$481,4,FALSE),"Missing")</x:f>
        <x:v>Cleaning</x:v>
      </x:c>
      <x:c r="G122" t="str">
        <x:f>IFERROR(INDEX(Product_Dim!$D$2:$D$481,MATCH(A122,Product_Dim!$A$2:$A$481,0)),"Missing")</x:f>
        <x:v>Cleaning</x:v>
      </x:c>
      <x:c r="H122" t="n">
        <x:f>C122*D122</x:f>
        <x:v>85.15</x:v>
      </x:c>
      <x:c r="I122" t="n">
        <x:f>E122-H122</x:f>
        <x:v>0</x:v>
      </x:c>
    </x:row>
    <x:row r="123">
      <x:c r="A123" t="str">
        <x:v>P0009</x:v>
      </x:c>
      <x:c r="B123" t="n">
        <x:v>10</x:v>
      </x:c>
      <x:c r="C123" t="n">
        <x:v>10</x:v>
      </x:c>
      <x:c r="D123" t="n">
        <x:v>187.38</x:v>
      </x:c>
      <x:c r="E123" t="n">
        <x:v>1873.8</x:v>
      </x:c>
      <x:c r="F123" t="str">
        <x:f>IFERROR(VLOOKUP(A123,Product_Dim!$A$2:$D$481,4,FALSE),"Missing")</x:f>
        <x:v>Beverages</x:v>
      </x:c>
      <x:c r="G123" t="str">
        <x:f>IFERROR(INDEX(Product_Dim!$D$2:$D$481,MATCH(A123,Product_Dim!$A$2:$A$481,0)),"Missing")</x:f>
        <x:v>Beverages</x:v>
      </x:c>
      <x:c r="H123" t="n">
        <x:f>C123*D123</x:f>
        <x:v>1873.8</x:v>
      </x:c>
      <x:c r="I123" t="n">
        <x:f>E123-H123</x:f>
        <x:v>0</x:v>
      </x:c>
    </x:row>
    <x:row r="124">
      <x:c r="A124" t="str">
        <x:v>P0011</x:v>
      </x:c>
      <x:c r="B124" t="n">
        <x:v>20</x:v>
      </x:c>
      <x:c r="C124" t="n">
        <x:v>20</x:v>
      </x:c>
      <x:c r="D124" t="n">
        <x:v>33.99</x:v>
      </x:c>
      <x:c r="E124" t="n">
        <x:v>679.8</x:v>
      </x:c>
      <x:c r="F124" t="str">
        <x:f>IFERROR(VLOOKUP(A124,Product_Dim!$A$2:$D$481,4,FALSE),"Missing")</x:f>
        <x:v>Household</x:v>
      </x:c>
      <x:c r="G124" t="str">
        <x:f>IFERROR(INDEX(Product_Dim!$D$2:$D$481,MATCH(A124,Product_Dim!$A$2:$A$481,0)),"Missing")</x:f>
        <x:v>Household</x:v>
      </x:c>
      <x:c r="H124" t="n">
        <x:f>C124*D124</x:f>
        <x:v>679.8000000000001</x:v>
      </x:c>
      <x:c r="I124" t="n">
        <x:f>E124-H124</x:f>
        <x:v>-1.1368683772161603e-13</x:v>
      </x:c>
    </x:row>
    <x:row r="125">
      <x:c r="A125" t="str">
        <x:v>P0087</x:v>
      </x:c>
      <x:c r="B125" t="n">
        <x:v>8</x:v>
      </x:c>
      <x:c r="C125" t="n">
        <x:v>8</x:v>
      </x:c>
      <x:c r="D125" t="n">
        <x:v>98.51</x:v>
      </x:c>
      <x:c r="E125" t="n">
        <x:v>788.08</x:v>
      </x:c>
      <x:c r="F125" t="str">
        <x:f>IFERROR(VLOOKUP(A125,Product_Dim!$A$2:$D$481,4,FALSE),"Missing")</x:f>
        <x:v>Electrical</x:v>
      </x:c>
      <x:c r="G125" t="str">
        <x:f>IFERROR(INDEX(Product_Dim!$D$2:$D$481,MATCH(A125,Product_Dim!$A$2:$A$481,0)),"Missing")</x:f>
        <x:v>Electrical</x:v>
      </x:c>
      <x:c r="H125" t="n">
        <x:f>C125*D125</x:f>
        <x:v>788.08</x:v>
      </x:c>
      <x:c r="I125" t="n">
        <x:f>E125-H125</x:f>
        <x:v>0</x:v>
      </x:c>
    </x:row>
    <x:row r="126">
      <x:c r="A126" t="str">
        <x:v>P0012</x:v>
      </x:c>
      <x:c r="B126" t="n">
        <x:v>10</x:v>
      </x:c>
      <x:c r="C126" t="n">
        <x:v>10</x:v>
      </x:c>
      <x:c r="D126" t="n">
        <x:v>150.36</x:v>
      </x:c>
      <x:c r="E126" t="n">
        <x:v>1503.6</x:v>
      </x:c>
      <x:c r="F126" t="str">
        <x:f>IFERROR(VLOOKUP(A126,Product_Dim!$A$2:$D$481,4,FALSE),"Missing")</x:f>
        <x:v>Personal Care</x:v>
      </x:c>
      <x:c r="G126" t="str">
        <x:f>IFERROR(INDEX(Product_Dim!$D$2:$D$481,MATCH(A126,Product_Dim!$A$2:$A$481,0)),"Missing")</x:f>
        <x:v>Personal Care</x:v>
      </x:c>
      <x:c r="H126" t="n">
        <x:f>C126*D126</x:f>
        <x:v>1503.6000000000001</x:v>
      </x:c>
      <x:c r="I126" t="n">
        <x:f>E126-H126</x:f>
        <x:v>-2.2737367544323206e-13</x:v>
      </x:c>
    </x:row>
    <x:row r="127">
      <x:c r="A127" t="str">
        <x:v>P0205</x:v>
      </x:c>
      <x:c r="B127" t="n">
        <x:v>5</x:v>
      </x:c>
      <x:c r="C127" t="n">
        <x:v>5</x:v>
      </x:c>
      <x:c r="D127" t="n">
        <x:v>108.8</x:v>
      </x:c>
      <x:c r="E127" t="n">
        <x:v>544</x:v>
      </x:c>
      <x:c r="F127" t="str">
        <x:f>IFERROR(VLOOKUP(A127,Product_Dim!$A$2:$D$481,4,FALSE),"Missing")</x:f>
        <x:v>Packaging</x:v>
      </x:c>
      <x:c r="G127" t="str">
        <x:f>IFERROR(INDEX(Product_Dim!$D$2:$D$481,MATCH(A127,Product_Dim!$A$2:$A$481,0)),"Missing")</x:f>
        <x:v>Packaging</x:v>
      </x:c>
      <x:c r="H127" t="n">
        <x:f>C127*D127</x:f>
        <x:v>544</x:v>
      </x:c>
      <x:c r="I127" t="n">
        <x:f>E127-H127</x:f>
        <x:v>0</x:v>
      </x:c>
    </x:row>
    <x:row r="128">
      <x:c r="A128" t="str">
        <x:v>P0151</x:v>
      </x:c>
      <x:c r="B128" t="n">
        <x:v>20</x:v>
      </x:c>
      <x:c r="C128" t="n">
        <x:v>20</x:v>
      </x:c>
      <x:c r="D128" t="n">
        <x:v>151.98</x:v>
      </x:c>
      <x:c r="E128" t="n">
        <x:v>3039.6</x:v>
      </x:c>
      <x:c r="F128" t="str">
        <x:f>IFERROR(VLOOKUP(A128,Product_Dim!$A$2:$D$481,4,FALSE),"Missing")</x:f>
        <x:v>Electrical</x:v>
      </x:c>
      <x:c r="G128" t="str">
        <x:f>IFERROR(INDEX(Product_Dim!$D$2:$D$481,MATCH(A128,Product_Dim!$A$2:$A$481,0)),"Missing")</x:f>
        <x:v>Electrical</x:v>
      </x:c>
      <x:c r="H128" t="n">
        <x:f>C128*D128</x:f>
        <x:v>3039.6</x:v>
      </x:c>
      <x:c r="I128" t="n">
        <x:f>E128-H128</x:f>
        <x:v>0</x:v>
      </x:c>
    </x:row>
    <x:row r="129">
      <x:c r="A129" t="str">
        <x:v>P0011</x:v>
      </x:c>
      <x:c r="B129" t="n">
        <x:v>15</x:v>
      </x:c>
      <x:c r="C129" t="n">
        <x:v>3</x:v>
      </x:c>
      <x:c r="D129" t="n">
        <x:v>33.99</x:v>
      </x:c>
      <x:c r="E129" t="n">
        <x:v>101.97</x:v>
      </x:c>
      <x:c r="F129" t="str">
        <x:f>IFERROR(VLOOKUP(A129,Product_Dim!$A$2:$D$481,4,FALSE),"Missing")</x:f>
        <x:v>Household</x:v>
      </x:c>
      <x:c r="G129" t="str">
        <x:f>IFERROR(INDEX(Product_Dim!$D$2:$D$481,MATCH(A129,Product_Dim!$A$2:$A$481,0)),"Missing")</x:f>
        <x:v>Household</x:v>
      </x:c>
      <x:c r="H129" t="n">
        <x:f>C129*D129</x:f>
        <x:v>101.97</x:v>
      </x:c>
      <x:c r="I129" t="n">
        <x:f>E129-H129</x:f>
        <x:v>0</x:v>
      </x:c>
    </x:row>
    <x:row r="130">
      <x:c r="A130" t="str">
        <x:v>P0003</x:v>
      </x:c>
      <x:c r="B130" t="n">
        <x:v>15</x:v>
      </x:c>
      <x:c r="C130" t="n">
        <x:v>15</x:v>
      </x:c>
      <x:c r="D130" t="n">
        <x:v>160.17</x:v>
      </x:c>
      <x:c r="E130" t="n">
        <x:v>2402.55</x:v>
      </x:c>
      <x:c r="F130" t="str">
        <x:f>IFERROR(VLOOKUP(A130,Product_Dim!$A$2:$D$481,4,FALSE),"Missing")</x:f>
        <x:v>Household</x:v>
      </x:c>
      <x:c r="G130" t="str">
        <x:f>IFERROR(INDEX(Product_Dim!$D$2:$D$481,MATCH(A130,Product_Dim!$A$2:$A$481,0)),"Missing")</x:f>
        <x:v>Household</x:v>
      </x:c>
      <x:c r="H130" t="n">
        <x:f>C130*D130</x:f>
        <x:v>2402.5499999999997</x:v>
      </x:c>
      <x:c r="I130" t="n">
        <x:f>E130-H130</x:f>
        <x:v>4.547473508864641e-13</x:v>
      </x:c>
    </x:row>
    <x:row r="131">
      <x:c r="A131" t="str">
        <x:v>P0046</x:v>
      </x:c>
      <x:c r="B131" t="n">
        <x:v>5</x:v>
      </x:c>
      <x:c r="C131" t="n">
        <x:v>5</x:v>
      </x:c>
      <x:c r="D131" t="n">
        <x:v>11.7</x:v>
      </x:c>
      <x:c r="E131" t="n">
        <x:v>58.5</x:v>
      </x:c>
      <x:c r="F131" t="str">
        <x:f>IFERROR(VLOOKUP(A131,Product_Dim!$A$2:$D$481,4,FALSE),"Missing")</x:f>
        <x:v>Hardware</x:v>
      </x:c>
      <x:c r="G131" t="str">
        <x:f>IFERROR(INDEX(Product_Dim!$D$2:$D$481,MATCH(A131,Product_Dim!$A$2:$A$481,0)),"Missing")</x:f>
        <x:v>Hardware</x:v>
      </x:c>
      <x:c r="H131" t="n">
        <x:f>C131*D131</x:f>
        <x:v>58.5</x:v>
      </x:c>
      <x:c r="I131" t="n">
        <x:f>E131-H131</x:f>
        <x:v>0</x:v>
      </x:c>
    </x:row>
    <x:row r="132">
      <x:c r="A132" t="str">
        <x:v>P0009</x:v>
      </x:c>
      <x:c r="B132" t="n">
        <x:v>10</x:v>
      </x:c>
      <x:c r="C132" t="n">
        <x:v>10</x:v>
      </x:c>
      <x:c r="D132" t="n">
        <x:v>187.38</x:v>
      </x:c>
      <x:c r="E132" t="n">
        <x:v>1873.8</x:v>
      </x:c>
      <x:c r="F132" t="str">
        <x:f>IFERROR(VLOOKUP(A132,Product_Dim!$A$2:$D$481,4,FALSE),"Missing")</x:f>
        <x:v>Beverages</x:v>
      </x:c>
      <x:c r="G132" t="str">
        <x:f>IFERROR(INDEX(Product_Dim!$D$2:$D$481,MATCH(A132,Product_Dim!$A$2:$A$481,0)),"Missing")</x:f>
        <x:v>Beverages</x:v>
      </x:c>
      <x:c r="H132" t="n">
        <x:f>C132*D132</x:f>
        <x:v>1873.8</x:v>
      </x:c>
      <x:c r="I132" t="n">
        <x:f>E132-H132</x:f>
        <x:v>0</x:v>
      </x:c>
    </x:row>
    <x:row r="133">
      <x:c r="A133" t="str">
        <x:v>P0300</x:v>
      </x:c>
      <x:c r="B133" t="n">
        <x:v>10</x:v>
      </x:c>
      <x:c r="C133" t="n">
        <x:v>10</x:v>
      </x:c>
      <x:c r="D133" t="n">
        <x:v>140.26</x:v>
      </x:c>
      <x:c r="E133" t="n">
        <x:v>1402.6</x:v>
      </x:c>
      <x:c r="F133" t="str">
        <x:f>IFERROR(VLOOKUP(A133,Product_Dim!$A$2:$D$481,4,FALSE),"Missing")</x:f>
        <x:v>Personal Care</x:v>
      </x:c>
      <x:c r="G133" t="str">
        <x:f>IFERROR(INDEX(Product_Dim!$D$2:$D$481,MATCH(A133,Product_Dim!$A$2:$A$481,0)),"Missing")</x:f>
        <x:v>Personal Care</x:v>
      </x:c>
      <x:c r="H133" t="n">
        <x:f>C133*D133</x:f>
        <x:v>1402.6</x:v>
      </x:c>
      <x:c r="I133" t="n">
        <x:f>E133-H133</x:f>
        <x:v>0</x:v>
      </x:c>
    </x:row>
    <x:row r="134">
      <x:c r="A134" t="str">
        <x:v>P0426</x:v>
      </x:c>
      <x:c r="B134" t="n">
        <x:v>5</x:v>
      </x:c>
      <x:c r="C134" t="n">
        <x:v>5</x:v>
      </x:c>
      <x:c r="D134" t="n">
        <x:v>59.04</x:v>
      </x:c>
      <x:c r="E134" t="n">
        <x:v>295.2</x:v>
      </x:c>
      <x:c r="F134" t="str">
        <x:f>IFERROR(VLOOKUP(A134,Product_Dim!$A$2:$D$481,4,FALSE),"Missing")</x:f>
        <x:v>Dry Grocery</x:v>
      </x:c>
      <x:c r="G134" t="str">
        <x:f>IFERROR(INDEX(Product_Dim!$D$2:$D$481,MATCH(A134,Product_Dim!$A$2:$A$481,0)),"Missing")</x:f>
        <x:v>Dry Grocery</x:v>
      </x:c>
      <x:c r="H134" t="n">
        <x:f>C134*D134</x:f>
        <x:v>295.2</x:v>
      </x:c>
      <x:c r="I134" t="n">
        <x:f>E134-H134</x:f>
        <x:v>0</x:v>
      </x:c>
    </x:row>
    <x:row r="135">
      <x:c r="A135" t="str">
        <x:v>P0071</x:v>
      </x:c>
      <x:c r="B135" t="n">
        <x:v>5</x:v>
      </x:c>
      <x:c r="C135" t="n">
        <x:v>5</x:v>
      </x:c>
      <x:c r="D135" t="n">
        <x:v>98.14</x:v>
      </x:c>
      <x:c r="E135" t="n">
        <x:v>490.7</x:v>
      </x:c>
      <x:c r="F135" t="str">
        <x:f>IFERROR(VLOOKUP(A135,Product_Dim!$A$2:$D$481,4,FALSE),"Missing")</x:f>
        <x:v>Electrical</x:v>
      </x:c>
      <x:c r="G135" t="str">
        <x:f>IFERROR(INDEX(Product_Dim!$D$2:$D$481,MATCH(A135,Product_Dim!$A$2:$A$481,0)),"Missing")</x:f>
        <x:v>Electrical</x:v>
      </x:c>
      <x:c r="H135" t="n">
        <x:f>C135*D135</x:f>
        <x:v>490.7</x:v>
      </x:c>
      <x:c r="I135" t="n">
        <x:f>E135-H135</x:f>
        <x:v>0</x:v>
      </x:c>
    </x:row>
    <x:row r="136">
      <x:c r="A136" t="str">
        <x:v>P0070</x:v>
      </x:c>
      <x:c r="B136" t="n">
        <x:v>40</x:v>
      </x:c>
      <x:c r="C136" t="n">
        <x:v>40</x:v>
      </x:c>
      <x:c r="D136" t="n">
        <x:v>87.7</x:v>
      </x:c>
      <x:c r="E136" t="n">
        <x:v>3508</x:v>
      </x:c>
      <x:c r="F136" t="str">
        <x:f>IFERROR(VLOOKUP(A136,Product_Dim!$A$2:$D$481,4,FALSE),"Missing")</x:f>
        <x:v>Hardware</x:v>
      </x:c>
      <x:c r="G136" t="str">
        <x:f>IFERROR(INDEX(Product_Dim!$D$2:$D$481,MATCH(A136,Product_Dim!$A$2:$A$481,0)),"Missing")</x:f>
        <x:v>Hardware</x:v>
      </x:c>
      <x:c r="H136" t="n">
        <x:f>C136*D136</x:f>
        <x:v>3508</x:v>
      </x:c>
      <x:c r="I136" t="n">
        <x:f>E136-H136</x:f>
        <x:v>0</x:v>
      </x:c>
    </x:row>
    <x:row r="137">
      <x:c r="A137" t="str">
        <x:v>P0338</x:v>
      </x:c>
      <x:c r="B137" t="n">
        <x:v>5</x:v>
      </x:c>
      <x:c r="C137" t="n">
        <x:v>5</x:v>
      </x:c>
      <x:c r="D137" t="n">
        <x:v>60.43</x:v>
      </x:c>
      <x:c r="E137" t="n">
        <x:v>302.15</x:v>
      </x:c>
      <x:c r="F137" t="str">
        <x:f>IFERROR(VLOOKUP(A137,Product_Dim!$A$2:$D$481,4,FALSE),"Missing")</x:f>
        <x:v>Dry Grocery</x:v>
      </x:c>
      <x:c r="G137" t="str">
        <x:f>IFERROR(INDEX(Product_Dim!$D$2:$D$481,MATCH(A137,Product_Dim!$A$2:$A$481,0)),"Missing")</x:f>
        <x:v>Dry Grocery</x:v>
      </x:c>
      <x:c r="H137" t="n">
        <x:f>C137*D137</x:f>
        <x:v>302.15</x:v>
      </x:c>
      <x:c r="I137" t="n">
        <x:f>E137-H137</x:f>
        <x:v>0</x:v>
      </x:c>
    </x:row>
    <x:row r="138">
      <x:c r="A138" t="str">
        <x:v>P0072</x:v>
      </x:c>
      <x:c r="B138" t="n">
        <x:v>10</x:v>
      </x:c>
      <x:c r="C138" t="n">
        <x:v>10</x:v>
      </x:c>
      <x:c r="D138" t="n">
        <x:v>55.01</x:v>
      </x:c>
      <x:c r="E138" t="n">
        <x:v>550.1</x:v>
      </x:c>
      <x:c r="F138" t="str">
        <x:f>IFERROR(VLOOKUP(A138,Product_Dim!$A$2:$D$481,4,FALSE),"Missing")</x:f>
        <x:v>Cleaning</x:v>
      </x:c>
      <x:c r="G138" t="str">
        <x:f>IFERROR(INDEX(Product_Dim!$D$2:$D$481,MATCH(A138,Product_Dim!$A$2:$A$481,0)),"Missing")</x:f>
        <x:v>Cleaning</x:v>
      </x:c>
      <x:c r="H138" t="n">
        <x:f>C138*D138</x:f>
        <x:v>550.1</x:v>
      </x:c>
      <x:c r="I138" t="n">
        <x:f>E138-H138</x:f>
        <x:v>0</x:v>
      </x:c>
    </x:row>
    <x:row r="139">
      <x:c r="A139" t="str">
        <x:v>P0084</x:v>
      </x:c>
      <x:c r="B139" t="n">
        <x:v>15</x:v>
      </x:c>
      <x:c r="C139" t="n">
        <x:v>15</x:v>
      </x:c>
      <x:c r="D139" t="n">
        <x:v>141.07</x:v>
      </x:c>
      <x:c r="E139" t="n">
        <x:v>2116.05</x:v>
      </x:c>
      <x:c r="F139" t="str">
        <x:f>IFERROR(VLOOKUP(A139,Product_Dim!$A$2:$D$481,4,FALSE),"Missing")</x:f>
        <x:v>Personal Care</x:v>
      </x:c>
      <x:c r="G139" t="str">
        <x:f>IFERROR(INDEX(Product_Dim!$D$2:$D$481,MATCH(A139,Product_Dim!$A$2:$A$481,0)),"Missing")</x:f>
        <x:v>Personal Care</x:v>
      </x:c>
      <x:c r="H139" t="n">
        <x:f>C139*D139</x:f>
        <x:v>2116.0499999999997</x:v>
      </x:c>
      <x:c r="I139" t="n">
        <x:f>E139-H139</x:f>
        <x:v>4.547473508864641e-13</x:v>
      </x:c>
    </x:row>
    <x:row r="140">
      <x:c r="A140" t="str">
        <x:v>P0004</x:v>
      </x:c>
      <x:c r="B140" t="n">
        <x:v>5</x:v>
      </x:c>
      <x:c r="C140" t="n">
        <x:v>0</x:v>
      </x:c>
      <x:c r="D140" t="n">
        <x:v>57.91</x:v>
      </x:c>
      <x:c r="E140" t="str">
        <x:v>0.0</x:v>
      </x:c>
      <x:c r="F140" t="str">
        <x:f>IFERROR(VLOOKUP(A140,Product_Dim!$A$2:$D$481,4,FALSE),"Missing")</x:f>
        <x:v>Personal Care</x:v>
      </x:c>
      <x:c r="G140" t="str">
        <x:f>IFERROR(INDEX(Product_Dim!$D$2:$D$481,MATCH(A140,Product_Dim!$A$2:$A$481,0)),"Missing")</x:f>
        <x:v>Personal Care</x:v>
      </x:c>
      <x:c r="H140" t="n">
        <x:f>C140*D140</x:f>
        <x:v>0</x:v>
      </x:c>
      <x:c r="I140" t="n">
        <x:f>E140-H140</x:f>
        <x:v>0</x:v>
      </x:c>
    </x:row>
    <x:row r="141">
      <x:c r="A141" t="str">
        <x:v>P0001</x:v>
      </x:c>
      <x:c r="B141" t="n">
        <x:v>5</x:v>
      </x:c>
      <x:c r="C141" t="n">
        <x:v>5</x:v>
      </x:c>
      <x:c r="D141" t="n">
        <x:v>43.13</x:v>
      </x:c>
      <x:c r="E141" t="n">
        <x:v>215.65</x:v>
      </x:c>
      <x:c r="F141" t="str">
        <x:f>IFERROR(VLOOKUP(A141,Product_Dim!$A$2:$D$481,4,FALSE),"Missing")</x:f>
        <x:v>Beverages</x:v>
      </x:c>
      <x:c r="G141" t="str">
        <x:f>IFERROR(INDEX(Product_Dim!$D$2:$D$481,MATCH(A141,Product_Dim!$A$2:$A$481,0)),"Missing")</x:f>
        <x:v>Beverages</x:v>
      </x:c>
      <x:c r="H141" t="n">
        <x:f>C141*D141</x:f>
        <x:v>215.65</x:v>
      </x:c>
      <x:c r="I141" t="n">
        <x:f>E141-H141</x:f>
        <x:v>0</x:v>
      </x:c>
    </x:row>
    <x:row r="142">
      <x:c r="A142" t="str">
        <x:v>P0006</x:v>
      </x:c>
      <x:c r="B142" t="n">
        <x:v>10</x:v>
      </x:c>
      <x:c r="C142" t="n">
        <x:v>0</x:v>
      </x:c>
      <x:c r="D142" t="n">
        <x:v>64.13</x:v>
      </x:c>
      <x:c r="E142" t="str">
        <x:v>0.0</x:v>
      </x:c>
      <x:c r="F142" t="str">
        <x:f>IFERROR(VLOOKUP(A142,Product_Dim!$A$2:$D$481,4,FALSE),"Missing")</x:f>
        <x:v>Hardware</x:v>
      </x:c>
      <x:c r="G142" t="str">
        <x:f>IFERROR(INDEX(Product_Dim!$D$2:$D$481,MATCH(A142,Product_Dim!$A$2:$A$481,0)),"Missing")</x:f>
        <x:v>Hardware</x:v>
      </x:c>
      <x:c r="H142" t="n">
        <x:f>C142*D142</x:f>
        <x:v>0</x:v>
      </x:c>
      <x:c r="I142" t="n">
        <x:f>E142-H142</x:f>
        <x:v>0</x:v>
      </x:c>
    </x:row>
    <x:row r="143">
      <x:c r="A143" t="str">
        <x:v>P0042</x:v>
      </x:c>
      <x:c r="B143" t="n">
        <x:v>8</x:v>
      </x:c>
      <x:c r="C143" t="n">
        <x:v>0</x:v>
      </x:c>
      <x:c r="D143" t="n">
        <x:v>174.35</x:v>
      </x:c>
      <x:c r="E143" t="str">
        <x:v>0.0</x:v>
      </x:c>
      <x:c r="F143" t="str">
        <x:f>IFERROR(VLOOKUP(A143,Product_Dim!$A$2:$D$481,4,FALSE),"Missing")</x:f>
        <x:v>Dry Grocery</x:v>
      </x:c>
      <x:c r="G143" t="str">
        <x:f>IFERROR(INDEX(Product_Dim!$D$2:$D$481,MATCH(A143,Product_Dim!$A$2:$A$481,0)),"Missing")</x:f>
        <x:v>Dry Grocery</x:v>
      </x:c>
      <x:c r="H143" t="n">
        <x:f>C143*D143</x:f>
        <x:v>0</x:v>
      </x:c>
      <x:c r="I143" t="n">
        <x:f>E143-H143</x:f>
        <x:v>0</x:v>
      </x:c>
    </x:row>
    <x:row r="144">
      <x:c r="A144" t="str">
        <x:v>P0011</x:v>
      </x:c>
      <x:c r="B144" t="n">
        <x:v>15</x:v>
      </x:c>
      <x:c r="C144" t="n">
        <x:v>15</x:v>
      </x:c>
      <x:c r="D144" t="n">
        <x:v>33.99</x:v>
      </x:c>
      <x:c r="E144" t="n">
        <x:v>509.85</x:v>
      </x:c>
      <x:c r="F144" t="str">
        <x:f>IFERROR(VLOOKUP(A144,Product_Dim!$A$2:$D$481,4,FALSE),"Missing")</x:f>
        <x:v>Household</x:v>
      </x:c>
      <x:c r="G144" t="str">
        <x:f>IFERROR(INDEX(Product_Dim!$D$2:$D$481,MATCH(A144,Product_Dim!$A$2:$A$481,0)),"Missing")</x:f>
        <x:v>Household</x:v>
      </x:c>
      <x:c r="H144" t="n">
        <x:f>C144*D144</x:f>
        <x:v>509.85</x:v>
      </x:c>
      <x:c r="I144" t="n">
        <x:f>E144-H144</x:f>
        <x:v>0</x:v>
      </x:c>
    </x:row>
    <x:row r="145">
      <x:c r="A145" t="str">
        <x:v>P0012</x:v>
      </x:c>
      <x:c r="B145" t="n">
        <x:v>39</x:v>
      </x:c>
      <x:c r="C145" t="n">
        <x:v>39</x:v>
      </x:c>
      <x:c r="D145" t="n">
        <x:v>150.36</x:v>
      </x:c>
      <x:c r="E145" t="n">
        <x:v>5864.04</x:v>
      </x:c>
      <x:c r="F145" t="str">
        <x:f>IFERROR(VLOOKUP(A145,Product_Dim!$A$2:$D$481,4,FALSE),"Missing")</x:f>
        <x:v>Personal Care</x:v>
      </x:c>
      <x:c r="G145" t="str">
        <x:f>IFERROR(INDEX(Product_Dim!$D$2:$D$481,MATCH(A145,Product_Dim!$A$2:$A$481,0)),"Missing")</x:f>
        <x:v>Personal Care</x:v>
      </x:c>
      <x:c r="H145" t="n">
        <x:f>C145*D145</x:f>
        <x:v>5864.040000000001</x:v>
      </x:c>
      <x:c r="I145" t="n">
        <x:f>E145-H145</x:f>
        <x:v>-9.094947017729282e-13</x:v>
      </x:c>
    </x:row>
    <x:row r="146">
      <x:c r="A146" t="str">
        <x:v>P0025</x:v>
      </x:c>
      <x:c r="B146" t="n">
        <x:v>10</x:v>
      </x:c>
      <x:c r="C146" t="n">
        <x:v>0</x:v>
      </x:c>
      <x:c r="D146" t="n">
        <x:v>83.57</x:v>
      </x:c>
      <x:c r="E146" t="str">
        <x:v>0.0</x:v>
      </x:c>
      <x:c r="F146" t="str">
        <x:f>IFERROR(VLOOKUP(A146,Product_Dim!$A$2:$D$481,4,FALSE),"Missing")</x:f>
        <x:v>Beverages</x:v>
      </x:c>
      <x:c r="G146" t="str">
        <x:f>IFERROR(INDEX(Product_Dim!$D$2:$D$481,MATCH(A146,Product_Dim!$A$2:$A$481,0)),"Missing")</x:f>
        <x:v>Beverages</x:v>
      </x:c>
      <x:c r="H146" t="n">
        <x:f>C146*D146</x:f>
        <x:v>0</x:v>
      </x:c>
      <x:c r="I146" t="n">
        <x:f>E146-H146</x:f>
        <x:v>0</x:v>
      </x:c>
    </x:row>
    <x:row r="147">
      <x:c r="A147" t="str">
        <x:v>P0293</x:v>
      </x:c>
      <x:c r="B147" t="n">
        <x:v>3</x:v>
      </x:c>
      <x:c r="C147" t="n">
        <x:v>3</x:v>
      </x:c>
      <x:c r="D147" t="n">
        <x:v>129.55</x:v>
      </x:c>
      <x:c r="E147" t="n">
        <x:v>388.65</x:v>
      </x:c>
      <x:c r="F147" t="str">
        <x:f>IFERROR(VLOOKUP(A147,Product_Dim!$A$2:$D$481,4,FALSE),"Missing")</x:f>
        <x:v>Packaging</x:v>
      </x:c>
      <x:c r="G147" t="str">
        <x:f>IFERROR(INDEX(Product_Dim!$D$2:$D$481,MATCH(A147,Product_Dim!$A$2:$A$481,0)),"Missing")</x:f>
        <x:v>Packaging</x:v>
      </x:c>
      <x:c r="H147" t="n">
        <x:f>C147*D147</x:f>
        <x:v>388.65000000000003</x:v>
      </x:c>
      <x:c r="I147" t="n">
        <x:f>E147-H147</x:f>
        <x:v>-5.684341886080802e-14</x:v>
      </x:c>
    </x:row>
    <x:row r="148">
      <x:c r="A148" t="str">
        <x:v>P0273</x:v>
      </x:c>
      <x:c r="B148" t="n">
        <x:v>5</x:v>
      </x:c>
      <x:c r="C148" t="n">
        <x:v>5</x:v>
      </x:c>
      <x:c r="D148" t="n">
        <x:v>182.18</x:v>
      </x:c>
      <x:c r="E148" t="n">
        <x:v>910.9</x:v>
      </x:c>
      <x:c r="F148" t="str">
        <x:f>IFERROR(VLOOKUP(A148,Product_Dim!$A$2:$D$481,4,FALSE),"Missing")</x:f>
        <x:v>Beverages</x:v>
      </x:c>
      <x:c r="G148" t="str">
        <x:f>IFERROR(INDEX(Product_Dim!$D$2:$D$481,MATCH(A148,Product_Dim!$A$2:$A$481,0)),"Missing")</x:f>
        <x:v>Beverages</x:v>
      </x:c>
      <x:c r="H148" t="n">
        <x:f>C148*D148</x:f>
        <x:v>910.9000000000001</x:v>
      </x:c>
      <x:c r="I148" t="n">
        <x:f>E148-H148</x:f>
        <x:v>-1.1368683772161603e-13</x:v>
      </x:c>
    </x:row>
    <x:row r="149">
      <x:c r="A149" t="str">
        <x:v>P0473</x:v>
      </x:c>
      <x:c r="B149" t="n">
        <x:v>15</x:v>
      </x:c>
      <x:c r="C149" t="n">
        <x:v>3</x:v>
      </x:c>
      <x:c r="D149" t="n">
        <x:v>28.43</x:v>
      </x:c>
      <x:c r="E149" t="n">
        <x:v>85.29</x:v>
      </x:c>
      <x:c r="F149" t="str">
        <x:f>IFERROR(VLOOKUP(A149,Product_Dim!$A$2:$D$481,4,FALSE),"Missing")</x:f>
        <x:v>Beverages</x:v>
      </x:c>
      <x:c r="G149" t="str">
        <x:f>IFERROR(INDEX(Product_Dim!$D$2:$D$481,MATCH(A149,Product_Dim!$A$2:$A$481,0)),"Missing")</x:f>
        <x:v>Beverages</x:v>
      </x:c>
      <x:c r="H149" t="n">
        <x:f>C149*D149</x:f>
        <x:v>85.28999999999999</x:v>
      </x:c>
      <x:c r="I149" t="n">
        <x:f>E149-H149</x:f>
        <x:v>1.4210854715202004e-14</x:v>
      </x:c>
    </x:row>
    <x:row r="150">
      <x:c r="A150" t="str">
        <x:v>P0141</x:v>
      </x:c>
      <x:c r="B150" t="n">
        <x:v>15</x:v>
      </x:c>
      <x:c r="C150" t="n">
        <x:v>15</x:v>
      </x:c>
      <x:c r="D150" t="n">
        <x:v>26.64</x:v>
      </x:c>
      <x:c r="E150" t="n">
        <x:v>399.6</x:v>
      </x:c>
      <x:c r="F150" t="str">
        <x:f>IFERROR(VLOOKUP(A150,Product_Dim!$A$2:$D$481,4,FALSE),"Missing")</x:f>
        <x:v>Packaging</x:v>
      </x:c>
      <x:c r="G150" t="str">
        <x:f>IFERROR(INDEX(Product_Dim!$D$2:$D$481,MATCH(A150,Product_Dim!$A$2:$A$481,0)),"Missing")</x:f>
        <x:v>Packaging</x:v>
      </x:c>
      <x:c r="H150" t="n">
        <x:f>C150*D150</x:f>
        <x:v>399.6</x:v>
      </x:c>
      <x:c r="I150" t="n">
        <x:f>E150-H150</x:f>
        <x:v>0</x:v>
      </x:c>
    </x:row>
    <x:row r="151">
      <x:c r="A151" t="str">
        <x:v>P0392</x:v>
      </x:c>
      <x:c r="B151" t="n">
        <x:v>10</x:v>
      </x:c>
      <x:c r="C151" t="n">
        <x:v>10</x:v>
      </x:c>
      <x:c r="D151" t="n">
        <x:v>111.79</x:v>
      </x:c>
      <x:c r="E151" t="n">
        <x:v>1117.9</x:v>
      </x:c>
      <x:c r="F151" t="str">
        <x:f>IFERROR(VLOOKUP(A151,Product_Dim!$A$2:$D$481,4,FALSE),"Missing")</x:f>
        <x:v>Cleaning</x:v>
      </x:c>
      <x:c r="G151" t="str">
        <x:f>IFERROR(INDEX(Product_Dim!$D$2:$D$481,MATCH(A151,Product_Dim!$A$2:$A$481,0)),"Missing")</x:f>
        <x:v>Cleaning</x:v>
      </x:c>
      <x:c r="H151" t="n">
        <x:f>C151*D151</x:f>
        <x:v>1117.9</x:v>
      </x:c>
      <x:c r="I151" t="n">
        <x:f>E151-H151</x:f>
        <x:v>0</x:v>
      </x:c>
    </x:row>
    <x:row r="152">
      <x:c r="A152" t="str">
        <x:v>P0040</x:v>
      </x:c>
      <x:c r="B152" t="n">
        <x:v>30</x:v>
      </x:c>
      <x:c r="C152" t="n">
        <x:v>30</x:v>
      </x:c>
      <x:c r="D152" t="n">
        <x:v>171.61</x:v>
      </x:c>
      <x:c r="E152" t="n">
        <x:v>5148.3</x:v>
      </x:c>
      <x:c r="F152" t="str">
        <x:f>IFERROR(VLOOKUP(A152,Product_Dim!$A$2:$D$481,4,FALSE),"Missing")</x:f>
        <x:v>Cleaning</x:v>
      </x:c>
      <x:c r="G152" t="str">
        <x:f>IFERROR(INDEX(Product_Dim!$D$2:$D$481,MATCH(A152,Product_Dim!$A$2:$A$481,0)),"Missing")</x:f>
        <x:v>Cleaning</x:v>
      </x:c>
      <x:c r="H152" t="n">
        <x:f>C152*D152</x:f>
        <x:v>5148.3</x:v>
      </x:c>
      <x:c r="I152" t="n">
        <x:f>E152-H152</x:f>
        <x:v>0</x:v>
      </x:c>
    </x:row>
    <x:row r="153">
      <x:c r="A153" t="str">
        <x:v>P0302</x:v>
      </x:c>
      <x:c r="B153" t="n">
        <x:v>8</x:v>
      </x:c>
      <x:c r="C153" t="n">
        <x:v>8</x:v>
      </x:c>
      <x:c r="D153" t="n">
        <x:v>57.91</x:v>
      </x:c>
      <x:c r="E153" t="n">
        <x:v>463.28</x:v>
      </x:c>
      <x:c r="F153" t="str">
        <x:f>IFERROR(VLOOKUP(A153,Product_Dim!$A$2:$D$481,4,FALSE),"Missing")</x:f>
        <x:v>Hardware</x:v>
      </x:c>
      <x:c r="G153" t="str">
        <x:f>IFERROR(INDEX(Product_Dim!$D$2:$D$481,MATCH(A153,Product_Dim!$A$2:$A$481,0)),"Missing")</x:f>
        <x:v>Hardware</x:v>
      </x:c>
      <x:c r="H153" t="n">
        <x:f>C153*D153</x:f>
        <x:v>463.28</x:v>
      </x:c>
      <x:c r="I153" t="n">
        <x:f>E153-H153</x:f>
        <x:v>0</x:v>
      </x:c>
    </x:row>
    <x:row r="154">
      <x:c r="A154" t="str">
        <x:v>P0121</x:v>
      </x:c>
      <x:c r="B154" t="n">
        <x:v>8</x:v>
      </x:c>
      <x:c r="C154" t="n">
        <x:v>8</x:v>
      </x:c>
      <x:c r="D154" t="n">
        <x:v>142.99</x:v>
      </x:c>
      <x:c r="E154" t="n">
        <x:v>1143.92</x:v>
      </x:c>
      <x:c r="F154" t="str">
        <x:f>IFERROR(VLOOKUP(A154,Product_Dim!$A$2:$D$481,4,FALSE),"Missing")</x:f>
        <x:v>Beverages</x:v>
      </x:c>
      <x:c r="G154" t="str">
        <x:f>IFERROR(INDEX(Product_Dim!$D$2:$D$481,MATCH(A154,Product_Dim!$A$2:$A$481,0)),"Missing")</x:f>
        <x:v>Beverages</x:v>
      </x:c>
      <x:c r="H154" t="n">
        <x:f>C154*D154</x:f>
        <x:v>1143.92</x:v>
      </x:c>
      <x:c r="I154" t="n">
        <x:f>E154-H154</x:f>
        <x:v>0</x:v>
      </x:c>
    </x:row>
    <x:row r="155">
      <x:c r="A155" t="str">
        <x:v>P0002</x:v>
      </x:c>
      <x:c r="B155" t="n">
        <x:v>20</x:v>
      </x:c>
      <x:c r="C155" t="n">
        <x:v>20</x:v>
      </x:c>
      <x:c r="D155" t="n">
        <x:v>136.31</x:v>
      </x:c>
      <x:c r="E155" t="n">
        <x:v>2726.2</x:v>
      </x:c>
      <x:c r="F155" t="str">
        <x:f>IFERROR(VLOOKUP(A155,Product_Dim!$A$2:$D$481,4,FALSE),"Missing")</x:f>
        <x:v>Dry Grocery</x:v>
      </x:c>
      <x:c r="G155" t="str">
        <x:f>IFERROR(INDEX(Product_Dim!$D$2:$D$481,MATCH(A155,Product_Dim!$A$2:$A$481,0)),"Missing")</x:f>
        <x:v>Dry Grocery</x:v>
      </x:c>
      <x:c r="H155" t="n">
        <x:f>C155*D155</x:f>
        <x:v>2726.2</x:v>
      </x:c>
      <x:c r="I155" t="n">
        <x:f>E155-H155</x:f>
        <x:v>0</x:v>
      </x:c>
    </x:row>
    <x:row r="156">
      <x:c r="A156" t="str">
        <x:v>P0225</x:v>
      </x:c>
      <x:c r="B156" t="n">
        <x:v>30</x:v>
      </x:c>
      <x:c r="C156" t="n">
        <x:v>30</x:v>
      </x:c>
      <x:c r="D156" t="n">
        <x:v>84.78</x:v>
      </x:c>
      <x:c r="E156" t="n">
        <x:v>2543.4</x:v>
      </x:c>
      <x:c r="F156" t="str">
        <x:f>IFERROR(VLOOKUP(A156,Product_Dim!$A$2:$D$481,4,FALSE),"Missing")</x:f>
        <x:v>Beverages</x:v>
      </x:c>
      <x:c r="G156" t="str">
        <x:f>IFERROR(INDEX(Product_Dim!$D$2:$D$481,MATCH(A156,Product_Dim!$A$2:$A$481,0)),"Missing")</x:f>
        <x:v>Beverages</x:v>
      </x:c>
      <x:c r="H156" t="n">
        <x:f>C156*D156</x:f>
        <x:v>2543.4</x:v>
      </x:c>
      <x:c r="I156" t="n">
        <x:f>E156-H156</x:f>
        <x:v>0</x:v>
      </x:c>
    </x:row>
    <x:row r="157">
      <x:c r="A157" t="str">
        <x:v>P0091</x:v>
      </x:c>
      <x:c r="B157" t="n">
        <x:v>10</x:v>
      </x:c>
      <x:c r="C157" t="n">
        <x:v>10</x:v>
      </x:c>
      <x:c r="D157" t="n">
        <x:v>153.05</x:v>
      </x:c>
      <x:c r="E157" t="n">
        <x:v>1530.5</x:v>
      </x:c>
      <x:c r="F157" t="str">
        <x:f>IFERROR(VLOOKUP(A157,Product_Dim!$A$2:$D$481,4,FALSE),"Missing")</x:f>
        <x:v>Household</x:v>
      </x:c>
      <x:c r="G157" t="str">
        <x:f>IFERROR(INDEX(Product_Dim!$D$2:$D$481,MATCH(A157,Product_Dim!$A$2:$A$481,0)),"Missing")</x:f>
        <x:v>Household</x:v>
      </x:c>
      <x:c r="H157" t="n">
        <x:f>C157*D157</x:f>
        <x:v>1530.5</x:v>
      </x:c>
      <x:c r="I157" t="n">
        <x:f>E157-H157</x:f>
        <x:v>0</x:v>
      </x:c>
    </x:row>
    <x:row r="158">
      <x:c r="A158" t="str">
        <x:v>P0472</x:v>
      </x:c>
      <x:c r="B158" t="n">
        <x:v>20</x:v>
      </x:c>
      <x:c r="C158" t="n">
        <x:v>20</x:v>
      </x:c>
      <x:c r="D158" t="n">
        <x:v>118.41</x:v>
      </x:c>
      <x:c r="E158" t="n">
        <x:v>2368.2</x:v>
      </x:c>
      <x:c r="F158" t="str">
        <x:f>IFERROR(VLOOKUP(A158,Product_Dim!$A$2:$D$481,4,FALSE),"Missing")</x:f>
        <x:v>Cleaning</x:v>
      </x:c>
      <x:c r="G158" t="str">
        <x:f>IFERROR(INDEX(Product_Dim!$D$2:$D$481,MATCH(A158,Product_Dim!$A$2:$A$481,0)),"Missing")</x:f>
        <x:v>Cleaning</x:v>
      </x:c>
      <x:c r="H158" t="n">
        <x:f>C158*D158</x:f>
        <x:v>2368.2</x:v>
      </x:c>
      <x:c r="I158" t="n">
        <x:f>E158-H158</x:f>
        <x:v>0</x:v>
      </x:c>
    </x:row>
    <x:row r="159">
      <x:c r="A159" t="str">
        <x:v>P0207</x:v>
      </x:c>
      <x:c r="B159" t="n">
        <x:v>8</x:v>
      </x:c>
      <x:c r="C159" t="n">
        <x:v>8</x:v>
      </x:c>
      <x:c r="D159" t="n">
        <x:v>199.4</x:v>
      </x:c>
      <x:c r="E159" t="n">
        <x:v>1595.2</x:v>
      </x:c>
      <x:c r="F159" t="str">
        <x:f>IFERROR(VLOOKUP(A159,Product_Dim!$A$2:$D$481,4,FALSE),"Missing")</x:f>
        <x:v>Electrical</x:v>
      </x:c>
      <x:c r="G159" t="str">
        <x:f>IFERROR(INDEX(Product_Dim!$D$2:$D$481,MATCH(A159,Product_Dim!$A$2:$A$481,0)),"Missing")</x:f>
        <x:v>Electrical</x:v>
      </x:c>
      <x:c r="H159" t="n">
        <x:f>C159*D159</x:f>
        <x:v>1595.2</x:v>
      </x:c>
      <x:c r="I159" t="n">
        <x:f>E159-H159</x:f>
        <x:v>0</x:v>
      </x:c>
    </x:row>
    <x:row r="160">
      <x:c r="A160" t="str">
        <x:v>P0100</x:v>
      </x:c>
      <x:c r="B160" t="n">
        <x:v>8</x:v>
      </x:c>
      <x:c r="C160" t="n">
        <x:v>8</x:v>
      </x:c>
      <x:c r="D160" t="n">
        <x:v>149.59</x:v>
      </x:c>
      <x:c r="E160" t="n">
        <x:v>1196.72</x:v>
      </x:c>
      <x:c r="F160" t="str">
        <x:f>IFERROR(VLOOKUP(A160,Product_Dim!$A$2:$D$481,4,FALSE),"Missing")</x:f>
        <x:v>Personal Care</x:v>
      </x:c>
      <x:c r="G160" t="str">
        <x:f>IFERROR(INDEX(Product_Dim!$D$2:$D$481,MATCH(A160,Product_Dim!$A$2:$A$481,0)),"Missing")</x:f>
        <x:v>Personal Care</x:v>
      </x:c>
      <x:c r="H160" t="n">
        <x:f>C160*D160</x:f>
        <x:v>1196.72</x:v>
      </x:c>
      <x:c r="I160" t="n">
        <x:f>E160-H160</x:f>
        <x:v>0</x:v>
      </x:c>
    </x:row>
    <x:row r="161">
      <x:c r="A161" t="str">
        <x:v>P0228</x:v>
      </x:c>
      <x:c r="B161" t="n">
        <x:v>60</x:v>
      </x:c>
      <x:c r="C161" t="n">
        <x:v>60</x:v>
      </x:c>
      <x:c r="D161" t="n">
        <x:v>6.43</x:v>
      </x:c>
      <x:c r="E161" t="n">
        <x:v>385.8</x:v>
      </x:c>
      <x:c r="F161" t="str">
        <x:f>IFERROR(VLOOKUP(A161,Product_Dim!$A$2:$D$481,4,FALSE),"Missing")</x:f>
        <x:v>Personal Care</x:v>
      </x:c>
      <x:c r="G161" t="str">
        <x:f>IFERROR(INDEX(Product_Dim!$D$2:$D$481,MATCH(A161,Product_Dim!$A$2:$A$481,0)),"Missing")</x:f>
        <x:v>Personal Care</x:v>
      </x:c>
      <x:c r="H161" t="n">
        <x:f>C161*D161</x:f>
        <x:v>385.79999999999995</x:v>
      </x:c>
      <x:c r="I161" t="n">
        <x:f>E161-H161</x:f>
        <x:v>5.684341886080802e-14</x:v>
      </x:c>
    </x:row>
    <x:row r="162">
      <x:c r="A162" t="str">
        <x:v>P0238</x:v>
      </x:c>
      <x:c r="B162" t="n">
        <x:v>5</x:v>
      </x:c>
      <x:c r="C162" t="n">
        <x:v>5</x:v>
      </x:c>
      <x:c r="D162" t="n">
        <x:v>123.17</x:v>
      </x:c>
      <x:c r="E162" t="n">
        <x:v>615.85</x:v>
      </x:c>
      <x:c r="F162" t="str">
        <x:f>IFERROR(VLOOKUP(A162,Product_Dim!$A$2:$D$481,4,FALSE),"Missing")</x:f>
        <x:v>Hardware</x:v>
      </x:c>
      <x:c r="G162" t="str">
        <x:f>IFERROR(INDEX(Product_Dim!$D$2:$D$481,MATCH(A162,Product_Dim!$A$2:$A$481,0)),"Missing")</x:f>
        <x:v>Hardware</x:v>
      </x:c>
      <x:c r="H162" t="n">
        <x:f>C162*D162</x:f>
        <x:v>615.85</x:v>
      </x:c>
      <x:c r="I162" t="n">
        <x:f>E162-H162</x:f>
        <x:v>0</x:v>
      </x:c>
    </x:row>
    <x:row r="163">
      <x:c r="A163" t="str">
        <x:v>P0452</x:v>
      </x:c>
      <x:c r="B163" t="n">
        <x:v>5</x:v>
      </x:c>
      <x:c r="C163" t="n">
        <x:v>5</x:v>
      </x:c>
      <x:c r="D163" t="n">
        <x:v>151.01</x:v>
      </x:c>
      <x:c r="E163" t="n">
        <x:v>755.05</x:v>
      </x:c>
      <x:c r="F163" t="str">
        <x:f>IFERROR(VLOOKUP(A163,Product_Dim!$A$2:$D$481,4,FALSE),"Missing")</x:f>
        <x:v>Personal Care</x:v>
      </x:c>
      <x:c r="G163" t="str">
        <x:f>IFERROR(INDEX(Product_Dim!$D$2:$D$481,MATCH(A163,Product_Dim!$A$2:$A$481,0)),"Missing")</x:f>
        <x:v>Personal Care</x:v>
      </x:c>
      <x:c r="H163" t="n">
        <x:f>C163*D163</x:f>
        <x:v>755.05</x:v>
      </x:c>
      <x:c r="I163" t="n">
        <x:f>E163-H163</x:f>
        <x:v>0</x:v>
      </x:c>
    </x:row>
    <x:row r="164">
      <x:c r="A164" t="str">
        <x:v>P0289</x:v>
      </x:c>
      <x:c r="B164" t="n">
        <x:v>10</x:v>
      </x:c>
      <x:c r="C164" t="n">
        <x:v>10</x:v>
      </x:c>
      <x:c r="D164" t="n">
        <x:v>82.53</x:v>
      </x:c>
      <x:c r="E164" t="n">
        <x:v>825.3</x:v>
      </x:c>
      <x:c r="F164" t="str">
        <x:f>IFERROR(VLOOKUP(A164,Product_Dim!$A$2:$D$481,4,FALSE),"Missing")</x:f>
        <x:v>Beverages</x:v>
      </x:c>
      <x:c r="G164" t="str">
        <x:f>IFERROR(INDEX(Product_Dim!$D$2:$D$481,MATCH(A164,Product_Dim!$A$2:$A$481,0)),"Missing")</x:f>
        <x:v>Beverages</x:v>
      </x:c>
      <x:c r="H164" t="n">
        <x:f>C164*D164</x:f>
        <x:v>825.3</x:v>
      </x:c>
      <x:c r="I164" t="n">
        <x:f>E164-H164</x:f>
        <x:v>0</x:v>
      </x:c>
    </x:row>
    <x:row r="165">
      <x:c r="A165" t="str">
        <x:v>P0041</x:v>
      </x:c>
      <x:c r="B165" t="n">
        <x:v>60</x:v>
      </x:c>
      <x:c r="C165" t="n">
        <x:v>60</x:v>
      </x:c>
      <x:c r="D165" t="n">
        <x:v>67.11</x:v>
      </x:c>
      <x:c r="E165" t="n">
        <x:v>4026.6</x:v>
      </x:c>
      <x:c r="F165" t="str">
        <x:f>IFERROR(VLOOKUP(A165,Product_Dim!$A$2:$D$481,4,FALSE),"Missing")</x:f>
        <x:v>Beverages</x:v>
      </x:c>
      <x:c r="G165" t="str">
        <x:f>IFERROR(INDEX(Product_Dim!$D$2:$D$481,MATCH(A165,Product_Dim!$A$2:$A$481,0)),"Missing")</x:f>
        <x:v>Beverages</x:v>
      </x:c>
      <x:c r="H165" t="n">
        <x:f>C165*D165</x:f>
        <x:v>4026.6</x:v>
      </x:c>
      <x:c r="I165" t="n">
        <x:f>E165-H165</x:f>
        <x:v>0</x:v>
      </x:c>
    </x:row>
    <x:row r="166">
      <x:c r="A166" t="str">
        <x:v>P0008</x:v>
      </x:c>
      <x:c r="B166" t="n">
        <x:v>20</x:v>
      </x:c>
      <x:c r="C166" t="n">
        <x:v>20</x:v>
      </x:c>
      <x:c r="D166" t="n">
        <x:v>163.99</x:v>
      </x:c>
      <x:c r="E166" t="n">
        <x:v>3279.8</x:v>
      </x:c>
      <x:c r="F166" t="str">
        <x:f>IFERROR(VLOOKUP(A166,Product_Dim!$A$2:$D$481,4,FALSE),"Missing")</x:f>
        <x:v>Cleaning</x:v>
      </x:c>
      <x:c r="G166" t="str">
        <x:f>IFERROR(INDEX(Product_Dim!$D$2:$D$481,MATCH(A166,Product_Dim!$A$2:$A$481,0)),"Missing")</x:f>
        <x:v>Cleaning</x:v>
      </x:c>
      <x:c r="H166" t="n">
        <x:f>C166*D166</x:f>
        <x:v>3279.8</x:v>
      </x:c>
      <x:c r="I166" t="n">
        <x:f>E166-H166</x:f>
        <x:v>0</x:v>
      </x:c>
    </x:row>
    <x:row r="167">
      <x:c r="A167" t="str">
        <x:v>P0295</x:v>
      </x:c>
      <x:c r="B167" t="n">
        <x:v>30</x:v>
      </x:c>
      <x:c r="C167" t="n">
        <x:v>30</x:v>
      </x:c>
      <x:c r="D167" t="n">
        <x:v>164.79</x:v>
      </x:c>
      <x:c r="E167" t="n">
        <x:v>4943.7</x:v>
      </x:c>
      <x:c r="F167" t="str">
        <x:f>IFERROR(VLOOKUP(A167,Product_Dim!$A$2:$D$481,4,FALSE),"Missing")</x:f>
        <x:v>Electrical</x:v>
      </x:c>
      <x:c r="G167" t="str">
        <x:f>IFERROR(INDEX(Product_Dim!$D$2:$D$481,MATCH(A167,Product_Dim!$A$2:$A$481,0)),"Missing")</x:f>
        <x:v>Electrical</x:v>
      </x:c>
      <x:c r="H167" t="n">
        <x:f>C167*D167</x:f>
        <x:v>4943.7</x:v>
      </x:c>
      <x:c r="I167" t="n">
        <x:f>E167-H167</x:f>
        <x:v>0</x:v>
      </x:c>
    </x:row>
    <x:row r="168">
      <x:c r="A168" t="str">
        <x:v>P0078</x:v>
      </x:c>
      <x:c r="B168" t="n">
        <x:v>5</x:v>
      </x:c>
      <x:c r="C168" t="n">
        <x:v>5</x:v>
      </x:c>
      <x:c r="D168" t="n">
        <x:v>130.14</x:v>
      </x:c>
      <x:c r="E168" t="n">
        <x:v>650.7</x:v>
      </x:c>
      <x:c r="F168" t="str">
        <x:f>IFERROR(VLOOKUP(A168,Product_Dim!$A$2:$D$481,4,FALSE),"Missing")</x:f>
        <x:v>Hardware</x:v>
      </x:c>
      <x:c r="G168" t="str">
        <x:f>IFERROR(INDEX(Product_Dim!$D$2:$D$481,MATCH(A168,Product_Dim!$A$2:$A$481,0)),"Missing")</x:f>
        <x:v>Hardware</x:v>
      </x:c>
      <x:c r="H168" t="n">
        <x:f>C168*D168</x:f>
        <x:v>650.6999999999999</x:v>
      </x:c>
      <x:c r="I168" t="n">
        <x:f>E168-H168</x:f>
        <x:v>1.1368683772161603e-13</x:v>
      </x:c>
    </x:row>
    <x:row r="169">
      <x:c r="A169" t="str">
        <x:v>P0119</x:v>
      </x:c>
      <x:c r="B169" t="n">
        <x:v>30</x:v>
      </x:c>
      <x:c r="C169" t="n">
        <x:v>30</x:v>
      </x:c>
      <x:c r="D169" t="n">
        <x:v>182.4</x:v>
      </x:c>
      <x:c r="E169" t="n">
        <x:v>5472</x:v>
      </x:c>
      <x:c r="F169" t="str">
        <x:f>IFERROR(VLOOKUP(A169,Product_Dim!$A$2:$D$481,4,FALSE),"Missing")</x:f>
        <x:v>Electrical</x:v>
      </x:c>
      <x:c r="G169" t="str">
        <x:f>IFERROR(INDEX(Product_Dim!$D$2:$D$481,MATCH(A169,Product_Dim!$A$2:$A$481,0)),"Missing")</x:f>
        <x:v>Electrical</x:v>
      </x:c>
      <x:c r="H169" t="n">
        <x:f>C169*D169</x:f>
        <x:v>5472</x:v>
      </x:c>
      <x:c r="I169" t="n">
        <x:f>E169-H169</x:f>
        <x:v>0</x:v>
      </x:c>
    </x:row>
    <x:row r="170">
      <x:c r="A170" t="str">
        <x:v>P0003</x:v>
      </x:c>
      <x:c r="B170" t="n">
        <x:v>8</x:v>
      </x:c>
      <x:c r="C170" t="n">
        <x:v>8</x:v>
      </x:c>
      <x:c r="D170" t="n">
        <x:v>160.17</x:v>
      </x:c>
      <x:c r="E170" t="n">
        <x:v>1281.36</x:v>
      </x:c>
      <x:c r="F170" t="str">
        <x:f>IFERROR(VLOOKUP(A170,Product_Dim!$A$2:$D$481,4,FALSE),"Missing")</x:f>
        <x:v>Household</x:v>
      </x:c>
      <x:c r="G170" t="str">
        <x:f>IFERROR(INDEX(Product_Dim!$D$2:$D$481,MATCH(A170,Product_Dim!$A$2:$A$481,0)),"Missing")</x:f>
        <x:v>Household</x:v>
      </x:c>
      <x:c r="H170" t="n">
        <x:f>C170*D170</x:f>
        <x:v>1281.36</x:v>
      </x:c>
      <x:c r="I170" t="n">
        <x:f>E170-H170</x:f>
        <x:v>0</x:v>
      </x:c>
    </x:row>
    <x:row r="171">
      <x:c r="A171" t="str">
        <x:v>P0105</x:v>
      </x:c>
      <x:c r="B171" t="n">
        <x:v>5</x:v>
      </x:c>
      <x:c r="C171" t="n">
        <x:v>5</x:v>
      </x:c>
      <x:c r="D171" t="n">
        <x:v>164.08</x:v>
      </x:c>
      <x:c r="E171" t="n">
        <x:v>820.4</x:v>
      </x:c>
      <x:c r="F171" t="str">
        <x:f>IFERROR(VLOOKUP(A171,Product_Dim!$A$2:$D$481,4,FALSE),"Missing")</x:f>
        <x:v>Beverages</x:v>
      </x:c>
      <x:c r="G171" t="str">
        <x:f>IFERROR(INDEX(Product_Dim!$D$2:$D$481,MATCH(A171,Product_Dim!$A$2:$A$481,0)),"Missing")</x:f>
        <x:v>Beverages</x:v>
      </x:c>
      <x:c r="H171" t="n">
        <x:f>C171*D171</x:f>
        <x:v>820.4000000000001</x:v>
      </x:c>
      <x:c r="I171" t="n">
        <x:f>E171-H171</x:f>
        <x:v>-1.1368683772161603e-13</x:v>
      </x:c>
    </x:row>
    <x:row r="172">
      <x:c r="A172" t="str">
        <x:v>P0062</x:v>
      </x:c>
      <x:c r="B172" t="n">
        <x:v>10</x:v>
      </x:c>
      <x:c r="C172" t="n">
        <x:v>10</x:v>
      </x:c>
      <x:c r="D172" t="n">
        <x:v>86.07</x:v>
      </x:c>
      <x:c r="E172" t="n">
        <x:v>860.7</x:v>
      </x:c>
      <x:c r="F172" t="str">
        <x:f>IFERROR(VLOOKUP(A172,Product_Dim!$A$2:$D$481,4,FALSE),"Missing")</x:f>
        <x:v>Hardware</x:v>
      </x:c>
      <x:c r="G172" t="str">
        <x:f>IFERROR(INDEX(Product_Dim!$D$2:$D$481,MATCH(A172,Product_Dim!$A$2:$A$481,0)),"Missing")</x:f>
        <x:v>Hardware</x:v>
      </x:c>
      <x:c r="H172" t="n">
        <x:f>C172*D172</x:f>
        <x:v>860.6999999999999</x:v>
      </x:c>
      <x:c r="I172" t="n">
        <x:f>E172-H172</x:f>
        <x:v>1.1368683772161603e-13</x:v>
      </x:c>
    </x:row>
    <x:row r="173">
      <x:c r="A173" t="str">
        <x:v>P0475</x:v>
      </x:c>
      <x:c r="B173" t="n">
        <x:v>15</x:v>
      </x:c>
      <x:c r="C173" t="n">
        <x:v>15</x:v>
      </x:c>
      <x:c r="D173" t="n">
        <x:v>143.13</x:v>
      </x:c>
      <x:c r="E173" t="n">
        <x:v>2146.95</x:v>
      </x:c>
      <x:c r="F173" t="str">
        <x:f>IFERROR(VLOOKUP(A173,Product_Dim!$A$2:$D$481,4,FALSE),"Missing")</x:f>
        <x:v>Household</x:v>
      </x:c>
      <x:c r="G173" t="str">
        <x:f>IFERROR(INDEX(Product_Dim!$D$2:$D$481,MATCH(A173,Product_Dim!$A$2:$A$481,0)),"Missing")</x:f>
        <x:v>Household</x:v>
      </x:c>
      <x:c r="H173" t="n">
        <x:f>C173*D173</x:f>
        <x:v>2146.95</x:v>
      </x:c>
      <x:c r="I173" t="n">
        <x:f>E173-H173</x:f>
        <x:v>0</x:v>
      </x:c>
    </x:row>
    <x:row r="174">
      <x:c r="A174" t="str">
        <x:v>P0202</x:v>
      </x:c>
      <x:c r="B174" t="n">
        <x:v>8</x:v>
      </x:c>
      <x:c r="C174" t="n">
        <x:v>8</x:v>
      </x:c>
      <x:c r="D174" t="n">
        <x:v>26.41</x:v>
      </x:c>
      <x:c r="E174" t="n">
        <x:v>211.28</x:v>
      </x:c>
      <x:c r="F174" t="str">
        <x:f>IFERROR(VLOOKUP(A174,Product_Dim!$A$2:$D$481,4,FALSE),"Missing")</x:f>
        <x:v>Dry Grocery</x:v>
      </x:c>
      <x:c r="G174" t="str">
        <x:f>IFERROR(INDEX(Product_Dim!$D$2:$D$481,MATCH(A174,Product_Dim!$A$2:$A$481,0)),"Missing")</x:f>
        <x:v>Dry Grocery</x:v>
      </x:c>
      <x:c r="H174" t="n">
        <x:f>C174*D174</x:f>
        <x:v>211.28</x:v>
      </x:c>
      <x:c r="I174" t="n">
        <x:f>E174-H174</x:f>
        <x:v>0</x:v>
      </x:c>
    </x:row>
    <x:row r="175">
      <x:c r="A175" t="str">
        <x:v>P0064</x:v>
      </x:c>
      <x:c r="B175" t="n">
        <x:v>15</x:v>
      </x:c>
      <x:c r="C175" t="n">
        <x:v>15</x:v>
      </x:c>
      <x:c r="D175" t="n">
        <x:v>57.46</x:v>
      </x:c>
      <x:c r="E175" t="n">
        <x:v>861.9</x:v>
      </x:c>
      <x:c r="F175" t="str">
        <x:f>IFERROR(VLOOKUP(A175,Product_Dim!$A$2:$D$481,4,FALSE),"Missing")</x:f>
        <x:v>Cleaning</x:v>
      </x:c>
      <x:c r="G175" t="str">
        <x:f>IFERROR(INDEX(Product_Dim!$D$2:$D$481,MATCH(A175,Product_Dim!$A$2:$A$481,0)),"Missing")</x:f>
        <x:v>Cleaning</x:v>
      </x:c>
      <x:c r="H175" t="n">
        <x:f>C175*D175</x:f>
        <x:v>861.9</x:v>
      </x:c>
      <x:c r="I175" t="n">
        <x:f>E175-H175</x:f>
        <x:v>0</x:v>
      </x:c>
    </x:row>
    <x:row r="176">
      <x:c r="A176" t="str">
        <x:v>P0090</x:v>
      </x:c>
      <x:c r="B176" t="n">
        <x:v>8</x:v>
      </x:c>
      <x:c r="C176" t="n">
        <x:v>8</x:v>
      </x:c>
      <x:c r="D176" t="n">
        <x:v>69.87</x:v>
      </x:c>
      <x:c r="E176" t="n">
        <x:v>558.96</x:v>
      </x:c>
      <x:c r="F176" t="str">
        <x:f>IFERROR(VLOOKUP(A176,Product_Dim!$A$2:$D$481,4,FALSE),"Missing")</x:f>
        <x:v>Dry Grocery</x:v>
      </x:c>
      <x:c r="G176" t="str">
        <x:f>IFERROR(INDEX(Product_Dim!$D$2:$D$481,MATCH(A176,Product_Dim!$A$2:$A$481,0)),"Missing")</x:f>
        <x:v>Dry Grocery</x:v>
      </x:c>
      <x:c r="H176" t="n">
        <x:f>C176*D176</x:f>
        <x:v>558.96</x:v>
      </x:c>
      <x:c r="I176" t="n">
        <x:f>E176-H176</x:f>
        <x:v>0</x:v>
      </x:c>
    </x:row>
    <x:row r="177">
      <x:c r="A177" t="str">
        <x:v>P0211</x:v>
      </x:c>
      <x:c r="B177" t="n">
        <x:v>8</x:v>
      </x:c>
      <x:c r="C177" t="n">
        <x:v>8</x:v>
      </x:c>
      <x:c r="D177" t="n">
        <x:v>150.12</x:v>
      </x:c>
      <x:c r="E177" t="n">
        <x:v>1200.96</x:v>
      </x:c>
      <x:c r="F177" t="str">
        <x:f>IFERROR(VLOOKUP(A177,Product_Dim!$A$2:$D$481,4,FALSE),"Missing")</x:f>
        <x:v>Household</x:v>
      </x:c>
      <x:c r="G177" t="str">
        <x:f>IFERROR(INDEX(Product_Dim!$D$2:$D$481,MATCH(A177,Product_Dim!$A$2:$A$481,0)),"Missing")</x:f>
        <x:v>Household</x:v>
      </x:c>
      <x:c r="H177" t="n">
        <x:f>C177*D177</x:f>
        <x:v>1200.96</x:v>
      </x:c>
      <x:c r="I177" t="n">
        <x:f>E177-H177</x:f>
        <x:v>0</x:v>
      </x:c>
    </x:row>
    <x:row r="178">
      <x:c r="A178" t="str">
        <x:v>P0125</x:v>
      </x:c>
      <x:c r="B178" t="n">
        <x:v>8</x:v>
      </x:c>
      <x:c r="C178" t="n">
        <x:v>8</x:v>
      </x:c>
      <x:c r="D178" t="n">
        <x:v>32.68</x:v>
      </x:c>
      <x:c r="E178" t="n">
        <x:v>261.44</x:v>
      </x:c>
      <x:c r="F178" t="str">
        <x:f>IFERROR(VLOOKUP(A178,Product_Dim!$A$2:$D$481,4,FALSE),"Missing")</x:f>
        <x:v>Packaging</x:v>
      </x:c>
      <x:c r="G178" t="str">
        <x:f>IFERROR(INDEX(Product_Dim!$D$2:$D$481,MATCH(A178,Product_Dim!$A$2:$A$481,0)),"Missing")</x:f>
        <x:v>Packaging</x:v>
      </x:c>
      <x:c r="H178" t="n">
        <x:f>C178*D178</x:f>
        <x:v>261.44</x:v>
      </x:c>
      <x:c r="I178" t="n">
        <x:f>E178-H178</x:f>
        <x:v>0</x:v>
      </x:c>
    </x:row>
    <x:row r="179">
      <x:c r="A179" t="str">
        <x:v>P0005</x:v>
      </x:c>
      <x:c r="B179" t="n">
        <x:v>20</x:v>
      </x:c>
      <x:c r="C179" t="n">
        <x:v>0</x:v>
      </x:c>
      <x:c r="D179" t="n">
        <x:v>166.62</x:v>
      </x:c>
      <x:c r="E179" t="str">
        <x:v>0.0</x:v>
      </x:c>
      <x:c r="F179" t="str">
        <x:f>IFERROR(VLOOKUP(A179,Product_Dim!$A$2:$D$481,4,FALSE),"Missing")</x:f>
        <x:v>Packaging</x:v>
      </x:c>
      <x:c r="G179" t="str">
        <x:f>IFERROR(INDEX(Product_Dim!$D$2:$D$481,MATCH(A179,Product_Dim!$A$2:$A$481,0)),"Missing")</x:f>
        <x:v>Packaging</x:v>
      </x:c>
      <x:c r="H179" t="n">
        <x:f>C179*D179</x:f>
        <x:v>0</x:v>
      </x:c>
      <x:c r="I179" t="n">
        <x:f>E179-H179</x:f>
        <x:v>0</x:v>
      </x:c>
    </x:row>
    <x:row r="180">
      <x:c r="A180" t="str">
        <x:v>P0063</x:v>
      </x:c>
      <x:c r="B180" t="n">
        <x:v>30</x:v>
      </x:c>
      <x:c r="C180" t="n">
        <x:v>30</x:v>
      </x:c>
      <x:c r="D180" t="n">
        <x:v>44.95</x:v>
      </x:c>
      <x:c r="E180" t="n">
        <x:v>1348.5</x:v>
      </x:c>
      <x:c r="F180" t="str">
        <x:f>IFERROR(VLOOKUP(A180,Product_Dim!$A$2:$D$481,4,FALSE),"Missing")</x:f>
        <x:v>Electrical</x:v>
      </x:c>
      <x:c r="G180" t="str">
        <x:f>IFERROR(INDEX(Product_Dim!$D$2:$D$481,MATCH(A180,Product_Dim!$A$2:$A$481,0)),"Missing")</x:f>
        <x:v>Electrical</x:v>
      </x:c>
      <x:c r="H180" t="n">
        <x:f>C180*D180</x:f>
        <x:v>1348.5</x:v>
      </x:c>
      <x:c r="I180" t="n">
        <x:f>E180-H180</x:f>
        <x:v>0</x:v>
      </x:c>
    </x:row>
    <x:row r="181">
      <x:c r="A181" t="str">
        <x:v>P0239</x:v>
      </x:c>
      <x:c r="B181" t="n">
        <x:v>40</x:v>
      </x:c>
      <x:c r="C181" t="n">
        <x:v>40</x:v>
      </x:c>
      <x:c r="D181" t="n">
        <x:v>144.86</x:v>
      </x:c>
      <x:c r="E181" t="n">
        <x:v>5794.4</x:v>
      </x:c>
      <x:c r="F181" t="str">
        <x:f>IFERROR(VLOOKUP(A181,Product_Dim!$A$2:$D$481,4,FALSE),"Missing")</x:f>
        <x:v>Electrical</x:v>
      </x:c>
      <x:c r="G181" t="str">
        <x:f>IFERROR(INDEX(Product_Dim!$D$2:$D$481,MATCH(A181,Product_Dim!$A$2:$A$481,0)),"Missing")</x:f>
        <x:v>Electrical</x:v>
      </x:c>
      <x:c r="H181" t="n">
        <x:f>C181*D181</x:f>
        <x:v>5794.400000000001</x:v>
      </x:c>
      <x:c r="I181" t="n">
        <x:f>E181-H181</x:f>
        <x:v>-9.094947017729282e-13</x:v>
      </x:c>
    </x:row>
    <x:row r="182">
      <x:c r="A182" t="str">
        <x:v>P0042</x:v>
      </x:c>
      <x:c r="B182" t="n">
        <x:v>20</x:v>
      </x:c>
      <x:c r="C182" t="n">
        <x:v>20</x:v>
      </x:c>
      <x:c r="D182" t="n">
        <x:v>174.35</x:v>
      </x:c>
      <x:c r="E182" t="n">
        <x:v>3487</x:v>
      </x:c>
      <x:c r="F182" t="str">
        <x:f>IFERROR(VLOOKUP(A182,Product_Dim!$A$2:$D$481,4,FALSE),"Missing")</x:f>
        <x:v>Dry Grocery</x:v>
      </x:c>
      <x:c r="G182" t="str">
        <x:f>IFERROR(INDEX(Product_Dim!$D$2:$D$481,MATCH(A182,Product_Dim!$A$2:$A$481,0)),"Missing")</x:f>
        <x:v>Dry Grocery</x:v>
      </x:c>
      <x:c r="H182" t="n">
        <x:f>C182*D182</x:f>
        <x:v>3487</x:v>
      </x:c>
      <x:c r="I182" t="n">
        <x:f>E182-H182</x:f>
        <x:v>0</x:v>
      </x:c>
    </x:row>
    <x:row r="183">
      <x:c r="A183" t="str">
        <x:v>P0377</x:v>
      </x:c>
      <x:c r="B183" t="n">
        <x:v>8</x:v>
      </x:c>
      <x:c r="C183" t="n">
        <x:v>8</x:v>
      </x:c>
      <x:c r="D183" t="n">
        <x:v>78.59</x:v>
      </x:c>
      <x:c r="E183" t="n">
        <x:v>628.72</x:v>
      </x:c>
      <x:c r="F183" t="str">
        <x:f>IFERROR(VLOOKUP(A183,Product_Dim!$A$2:$D$481,4,FALSE),"Missing")</x:f>
        <x:v>Beverages</x:v>
      </x:c>
      <x:c r="G183" t="str">
        <x:f>IFERROR(INDEX(Product_Dim!$D$2:$D$481,MATCH(A183,Product_Dim!$A$2:$A$481,0)),"Missing")</x:f>
        <x:v>Beverages</x:v>
      </x:c>
      <x:c r="H183" t="n">
        <x:f>C183*D183</x:f>
        <x:v>628.72</x:v>
      </x:c>
      <x:c r="I183" t="n">
        <x:f>E183-H183</x:f>
        <x:v>0</x:v>
      </x:c>
    </x:row>
    <x:row r="184">
      <x:c r="A184" t="str">
        <x:v>P0077</x:v>
      </x:c>
      <x:c r="B184" t="n">
        <x:v>15</x:v>
      </x:c>
      <x:c r="C184" t="n">
        <x:v>15</x:v>
      </x:c>
      <x:c r="D184" t="n">
        <x:v>50.06</x:v>
      </x:c>
      <x:c r="E184" t="n">
        <x:v>750.9</x:v>
      </x:c>
      <x:c r="F184" t="str">
        <x:f>IFERROR(VLOOKUP(A184,Product_Dim!$A$2:$D$481,4,FALSE),"Missing")</x:f>
        <x:v>Packaging</x:v>
      </x:c>
      <x:c r="G184" t="str">
        <x:f>IFERROR(INDEX(Product_Dim!$D$2:$D$481,MATCH(A184,Product_Dim!$A$2:$A$481,0)),"Missing")</x:f>
        <x:v>Packaging</x:v>
      </x:c>
      <x:c r="H184" t="n">
        <x:f>C184*D184</x:f>
        <x:v>750.9000000000001</x:v>
      </x:c>
      <x:c r="I184" t="n">
        <x:f>E184-H184</x:f>
        <x:v>-1.1368683772161603e-13</x:v>
      </x:c>
    </x:row>
    <x:row r="185">
      <x:c r="A185" t="str">
        <x:v>P0354</x:v>
      </x:c>
      <x:c r="B185" t="n">
        <x:v>10</x:v>
      </x:c>
      <x:c r="C185" t="n">
        <x:v>10</x:v>
      </x:c>
      <x:c r="D185" t="n">
        <x:v>155.19</x:v>
      </x:c>
      <x:c r="E185" t="n">
        <x:v>1551.9</x:v>
      </x:c>
      <x:c r="F185" t="str">
        <x:f>IFERROR(VLOOKUP(A185,Product_Dim!$A$2:$D$481,4,FALSE),"Missing")</x:f>
        <x:v>Dry Grocery</x:v>
      </x:c>
      <x:c r="G185" t="str">
        <x:f>IFERROR(INDEX(Product_Dim!$D$2:$D$481,MATCH(A185,Product_Dim!$A$2:$A$481,0)),"Missing")</x:f>
        <x:v>Dry Grocery</x:v>
      </x:c>
      <x:c r="H185" t="n">
        <x:f>C185*D185</x:f>
        <x:v>1551.9</x:v>
      </x:c>
      <x:c r="I185" t="n">
        <x:f>E185-H185</x:f>
        <x:v>0</x:v>
      </x:c>
    </x:row>
    <x:row r="186">
      <x:c r="A186" t="str">
        <x:v>P0141</x:v>
      </x:c>
      <x:c r="B186" t="n">
        <x:v>8</x:v>
      </x:c>
      <x:c r="C186" t="n">
        <x:v>8</x:v>
      </x:c>
      <x:c r="D186" t="n">
        <x:v>26.64</x:v>
      </x:c>
      <x:c r="E186" t="n">
        <x:v>213.12</x:v>
      </x:c>
      <x:c r="F186" t="str">
        <x:f>IFERROR(VLOOKUP(A186,Product_Dim!$A$2:$D$481,4,FALSE),"Missing")</x:f>
        <x:v>Packaging</x:v>
      </x:c>
      <x:c r="G186" t="str">
        <x:f>IFERROR(INDEX(Product_Dim!$D$2:$D$481,MATCH(A186,Product_Dim!$A$2:$A$481,0)),"Missing")</x:f>
        <x:v>Packaging</x:v>
      </x:c>
      <x:c r="H186" t="n">
        <x:f>C186*D186</x:f>
        <x:v>213.12</x:v>
      </x:c>
      <x:c r="I186" t="n">
        <x:f>E186-H186</x:f>
        <x:v>0</x:v>
      </x:c>
    </x:row>
    <x:row r="187">
      <x:c r="A187" t="str">
        <x:v>P0473</x:v>
      </x:c>
      <x:c r="B187" t="n">
        <x:v>10</x:v>
      </x:c>
      <x:c r="C187" t="n">
        <x:v>10</x:v>
      </x:c>
      <x:c r="D187" t="n">
        <x:v>28.43</x:v>
      </x:c>
      <x:c r="E187" t="n">
        <x:v>284.3</x:v>
      </x:c>
      <x:c r="F187" t="str">
        <x:f>IFERROR(VLOOKUP(A187,Product_Dim!$A$2:$D$481,4,FALSE),"Missing")</x:f>
        <x:v>Beverages</x:v>
      </x:c>
      <x:c r="G187" t="str">
        <x:f>IFERROR(INDEX(Product_Dim!$D$2:$D$481,MATCH(A187,Product_Dim!$A$2:$A$481,0)),"Missing")</x:f>
        <x:v>Beverages</x:v>
      </x:c>
      <x:c r="H187" t="n">
        <x:f>C187*D187</x:f>
        <x:v>284.3</x:v>
      </x:c>
      <x:c r="I187" t="n">
        <x:f>E187-H187</x:f>
        <x:v>0</x:v>
      </x:c>
    </x:row>
    <x:row r="188">
      <x:c r="A188" t="str">
        <x:v>P0274</x:v>
      </x:c>
      <x:c r="B188" t="n">
        <x:v>15</x:v>
      </x:c>
      <x:c r="C188" t="n">
        <x:v>15</x:v>
      </x:c>
      <x:c r="D188" t="n">
        <x:v>95.09</x:v>
      </x:c>
      <x:c r="E188" t="n">
        <x:v>1426.35</x:v>
      </x:c>
      <x:c r="F188" t="str">
        <x:f>IFERROR(VLOOKUP(A188,Product_Dim!$A$2:$D$481,4,FALSE),"Missing")</x:f>
        <x:v>Dry Grocery</x:v>
      </x:c>
      <x:c r="G188" t="str">
        <x:f>IFERROR(INDEX(Product_Dim!$D$2:$D$481,MATCH(A188,Product_Dim!$A$2:$A$481,0)),"Missing")</x:f>
        <x:v>Dry Grocery</x:v>
      </x:c>
      <x:c r="H188" t="n">
        <x:f>C188*D188</x:f>
        <x:v>1426.3500000000001</x:v>
      </x:c>
      <x:c r="I188" t="n">
        <x:f>E188-H188</x:f>
        <x:v>-2.2737367544323206e-13</x:v>
      </x:c>
    </x:row>
    <x:row r="189">
      <x:c r="A189" t="str">
        <x:v>P0085</x:v>
      </x:c>
      <x:c r="B189" t="n">
        <x:v>15</x:v>
      </x:c>
      <x:c r="C189" t="n">
        <x:v>15</x:v>
      </x:c>
      <x:c r="D189" t="n">
        <x:v>194.5</x:v>
      </x:c>
      <x:c r="E189" t="n">
        <x:v>2917.5</x:v>
      </x:c>
      <x:c r="F189" t="str">
        <x:f>IFERROR(VLOOKUP(A189,Product_Dim!$A$2:$D$481,4,FALSE),"Missing")</x:f>
        <x:v>Packaging</x:v>
      </x:c>
      <x:c r="G189" t="str">
        <x:f>IFERROR(INDEX(Product_Dim!$D$2:$D$481,MATCH(A189,Product_Dim!$A$2:$A$481,0)),"Missing")</x:f>
        <x:v>Packaging</x:v>
      </x:c>
      <x:c r="H189" t="n">
        <x:f>C189*D189</x:f>
        <x:v>2917.5</x:v>
      </x:c>
      <x:c r="I189" t="n">
        <x:f>E189-H189</x:f>
        <x:v>0</x:v>
      </x:c>
    </x:row>
    <x:row r="190">
      <x:c r="A190" t="str">
        <x:v>P0003</x:v>
      </x:c>
      <x:c r="B190" t="n">
        <x:v>30</x:v>
      </x:c>
      <x:c r="C190" t="n">
        <x:v>0</x:v>
      </x:c>
      <x:c r="D190" t="n">
        <x:v>160.17</x:v>
      </x:c>
      <x:c r="E190" t="str">
        <x:v>0.0</x:v>
      </x:c>
      <x:c r="F190" t="str">
        <x:f>IFERROR(VLOOKUP(A190,Product_Dim!$A$2:$D$481,4,FALSE),"Missing")</x:f>
        <x:v>Household</x:v>
      </x:c>
      <x:c r="G190" t="str">
        <x:f>IFERROR(INDEX(Product_Dim!$D$2:$D$481,MATCH(A190,Product_Dim!$A$2:$A$481,0)),"Missing")</x:f>
        <x:v>Household</x:v>
      </x:c>
      <x:c r="H190" t="n">
        <x:f>C190*D190</x:f>
        <x:v>0</x:v>
      </x:c>
      <x:c r="I190" t="n">
        <x:f>E190-H190</x:f>
        <x:v>0</x:v>
      </x:c>
    </x:row>
    <x:row r="191">
      <x:c r="A191" t="str">
        <x:v>P0034</x:v>
      </x:c>
      <x:c r="B191" t="n">
        <x:v>10</x:v>
      </x:c>
      <x:c r="C191" t="n">
        <x:v>10</x:v>
      </x:c>
      <x:c r="D191" t="n">
        <x:v>79.28</x:v>
      </x:c>
      <x:c r="E191" t="n">
        <x:v>792.8</x:v>
      </x:c>
      <x:c r="F191" t="str">
        <x:f>IFERROR(VLOOKUP(A191,Product_Dim!$A$2:$D$481,4,FALSE),"Missing")</x:f>
        <x:v>Dry Grocery</x:v>
      </x:c>
      <x:c r="G191" t="str">
        <x:f>IFERROR(INDEX(Product_Dim!$D$2:$D$481,MATCH(A191,Product_Dim!$A$2:$A$481,0)),"Missing")</x:f>
        <x:v>Dry Grocery</x:v>
      </x:c>
      <x:c r="H191" t="n">
        <x:f>C191*D191</x:f>
        <x:v>792.8</x:v>
      </x:c>
      <x:c r="I191" t="n">
        <x:f>E191-H191</x:f>
        <x:v>0</x:v>
      </x:c>
    </x:row>
    <x:row r="192">
      <x:c r="A192" t="str">
        <x:v>P0195</x:v>
      </x:c>
      <x:c r="B192" t="n">
        <x:v>30</x:v>
      </x:c>
      <x:c r="C192" t="n">
        <x:v>30</x:v>
      </x:c>
      <x:c r="D192" t="n">
        <x:v>30.34</x:v>
      </x:c>
      <x:c r="E192" t="n">
        <x:v>910.2</x:v>
      </x:c>
      <x:c r="F192" t="str">
        <x:f>IFERROR(VLOOKUP(A192,Product_Dim!$A$2:$D$481,4,FALSE),"Missing")</x:f>
        <x:v>Household</x:v>
      </x:c>
      <x:c r="G192" t="str">
        <x:f>IFERROR(INDEX(Product_Dim!$D$2:$D$481,MATCH(A192,Product_Dim!$A$2:$A$481,0)),"Missing")</x:f>
        <x:v>Household</x:v>
      </x:c>
      <x:c r="H192" t="n">
        <x:f>C192*D192</x:f>
        <x:v>910.2</x:v>
      </x:c>
      <x:c r="I192" t="n">
        <x:f>E192-H192</x:f>
        <x:v>0</x:v>
      </x:c>
    </x:row>
    <x:row r="193">
      <x:c r="A193" t="str">
        <x:v>P0053</x:v>
      </x:c>
      <x:c r="B193" t="n">
        <x:v>3</x:v>
      </x:c>
      <x:c r="C193" t="n">
        <x:v>3</x:v>
      </x:c>
      <x:c r="D193" t="n">
        <x:v>22.63</x:v>
      </x:c>
      <x:c r="E193" t="n">
        <x:v>67.89</x:v>
      </x:c>
      <x:c r="F193" t="str">
        <x:f>IFERROR(VLOOKUP(A193,Product_Dim!$A$2:$D$481,4,FALSE),"Missing")</x:f>
        <x:v>Packaging</x:v>
      </x:c>
      <x:c r="G193" t="str">
        <x:f>IFERROR(INDEX(Product_Dim!$D$2:$D$481,MATCH(A193,Product_Dim!$A$2:$A$481,0)),"Missing")</x:f>
        <x:v>Packaging</x:v>
      </x:c>
      <x:c r="H193" t="n">
        <x:f>C193*D193</x:f>
        <x:v>67.89</x:v>
      </x:c>
      <x:c r="I193" t="n">
        <x:f>E193-H193</x:f>
        <x:v>0</x:v>
      </x:c>
    </x:row>
    <x:row r="194">
      <x:c r="A194" t="str">
        <x:v>P0113</x:v>
      </x:c>
      <x:c r="B194" t="n">
        <x:v>20</x:v>
      </x:c>
      <x:c r="C194" t="n">
        <x:v>20</x:v>
      </x:c>
      <x:c r="D194" t="n">
        <x:v>27.91</x:v>
      </x:c>
      <x:c r="E194" t="n">
        <x:v>558.2</x:v>
      </x:c>
      <x:c r="F194" t="str">
        <x:f>IFERROR(VLOOKUP(A194,Product_Dim!$A$2:$D$481,4,FALSE),"Missing")</x:f>
        <x:v>Beverages</x:v>
      </x:c>
      <x:c r="G194" t="str">
        <x:f>IFERROR(INDEX(Product_Dim!$D$2:$D$481,MATCH(A194,Product_Dim!$A$2:$A$481,0)),"Missing")</x:f>
        <x:v>Beverages</x:v>
      </x:c>
      <x:c r="H194" t="n">
        <x:f>C194*D194</x:f>
        <x:v>558.2</x:v>
      </x:c>
      <x:c r="I194" t="n">
        <x:f>E194-H194</x:f>
        <x:v>0</x:v>
      </x:c>
    </x:row>
    <x:row r="195">
      <x:c r="A195" t="str">
        <x:v>P0222</x:v>
      </x:c>
      <x:c r="B195" t="n">
        <x:v>10</x:v>
      </x:c>
      <x:c r="C195" t="n">
        <x:v>10</x:v>
      </x:c>
      <x:c r="D195" t="n">
        <x:v>156.28</x:v>
      </x:c>
      <x:c r="E195" t="n">
        <x:v>1562.8</x:v>
      </x:c>
      <x:c r="F195" t="str">
        <x:f>IFERROR(VLOOKUP(A195,Product_Dim!$A$2:$D$481,4,FALSE),"Missing")</x:f>
        <x:v>Hardware</x:v>
      </x:c>
      <x:c r="G195" t="str">
        <x:f>IFERROR(INDEX(Product_Dim!$D$2:$D$481,MATCH(A195,Product_Dim!$A$2:$A$481,0)),"Missing")</x:f>
        <x:v>Hardware</x:v>
      </x:c>
      <x:c r="H195" t="n">
        <x:f>C195*D195</x:f>
        <x:v>1562.8</x:v>
      </x:c>
      <x:c r="I195" t="n">
        <x:f>E195-H195</x:f>
        <x:v>0</x:v>
      </x:c>
    </x:row>
    <x:row r="196">
      <x:c r="A196" t="str">
        <x:v>P0324</x:v>
      </x:c>
      <x:c r="B196" t="n">
        <x:v>20</x:v>
      </x:c>
      <x:c r="C196" t="n">
        <x:v>20</x:v>
      </x:c>
      <x:c r="D196" t="n">
        <x:v>56.78</x:v>
      </x:c>
      <x:c r="E196" t="n">
        <x:v>1135.6</x:v>
      </x:c>
      <x:c r="F196" t="str">
        <x:f>IFERROR(VLOOKUP(A196,Product_Dim!$A$2:$D$481,4,FALSE),"Missing")</x:f>
        <x:v>Personal Care</x:v>
      </x:c>
      <x:c r="G196" t="str">
        <x:f>IFERROR(INDEX(Product_Dim!$D$2:$D$481,MATCH(A196,Product_Dim!$A$2:$A$481,0)),"Missing")</x:f>
        <x:v>Personal Care</x:v>
      </x:c>
      <x:c r="H196" t="n">
        <x:f>C196*D196</x:f>
        <x:v>1135.6</x:v>
      </x:c>
      <x:c r="I196" t="n">
        <x:f>E196-H196</x:f>
        <x:v>0</x:v>
      </x:c>
    </x:row>
    <x:row r="197">
      <x:c r="A197" t="str">
        <x:v>P0045</x:v>
      </x:c>
      <x:c r="B197" t="n">
        <x:v>8</x:v>
      </x:c>
      <x:c r="C197" t="n">
        <x:v>8</x:v>
      </x:c>
      <x:c r="D197" t="n">
        <x:v>137.67</x:v>
      </x:c>
      <x:c r="E197" t="n">
        <x:v>1101.36</x:v>
      </x:c>
      <x:c r="F197" t="str">
        <x:f>IFERROR(VLOOKUP(A197,Product_Dim!$A$2:$D$481,4,FALSE),"Missing")</x:f>
        <x:v>Packaging</x:v>
      </x:c>
      <x:c r="G197" t="str">
        <x:f>IFERROR(INDEX(Product_Dim!$D$2:$D$481,MATCH(A197,Product_Dim!$A$2:$A$481,0)),"Missing")</x:f>
        <x:v>Packaging</x:v>
      </x:c>
      <x:c r="H197" t="n">
        <x:f>C197*D197</x:f>
        <x:v>1101.36</x:v>
      </x:c>
      <x:c r="I197" t="n">
        <x:f>E197-H197</x:f>
        <x:v>0</x:v>
      </x:c>
    </x:row>
    <x:row r="198">
      <x:c r="A198" t="str">
        <x:v>P0139</x:v>
      </x:c>
      <x:c r="B198" t="n">
        <x:v>15</x:v>
      </x:c>
      <x:c r="C198" t="n">
        <x:v>15</x:v>
      </x:c>
      <x:c r="D198" t="n">
        <x:v>190.87</x:v>
      </x:c>
      <x:c r="E198" t="n">
        <x:v>2863.05</x:v>
      </x:c>
      <x:c r="F198" t="str">
        <x:f>IFERROR(VLOOKUP(A198,Product_Dim!$A$2:$D$481,4,FALSE),"Missing")</x:f>
        <x:v>Household</x:v>
      </x:c>
      <x:c r="G198" t="str">
        <x:f>IFERROR(INDEX(Product_Dim!$D$2:$D$481,MATCH(A198,Product_Dim!$A$2:$A$481,0)),"Missing")</x:f>
        <x:v>Household</x:v>
      </x:c>
      <x:c r="H198" t="n">
        <x:f>C198*D198</x:f>
        <x:v>2863.05</x:v>
      </x:c>
      <x:c r="I198" t="n">
        <x:f>E198-H198</x:f>
        <x:v>0</x:v>
      </x:c>
    </x:row>
    <x:row r="199">
      <x:c r="A199" t="str">
        <x:v>P0426</x:v>
      </x:c>
      <x:c r="B199" t="n">
        <x:v>10</x:v>
      </x:c>
      <x:c r="C199" t="n">
        <x:v>10</x:v>
      </x:c>
      <x:c r="D199" t="n">
        <x:v>59.04</x:v>
      </x:c>
      <x:c r="E199" t="n">
        <x:v>590.4</x:v>
      </x:c>
      <x:c r="F199" t="str">
        <x:f>IFERROR(VLOOKUP(A199,Product_Dim!$A$2:$D$481,4,FALSE),"Missing")</x:f>
        <x:v>Dry Grocery</x:v>
      </x:c>
      <x:c r="G199" t="str">
        <x:f>IFERROR(INDEX(Product_Dim!$D$2:$D$481,MATCH(A199,Product_Dim!$A$2:$A$481,0)),"Missing")</x:f>
        <x:v>Dry Grocery</x:v>
      </x:c>
      <x:c r="H199" t="n">
        <x:f>C199*D199</x:f>
        <x:v>590.4</x:v>
      </x:c>
      <x:c r="I199" t="n">
        <x:f>E199-H199</x:f>
        <x:v>0</x:v>
      </x:c>
    </x:row>
    <x:row r="200">
      <x:c r="A200" t="str">
        <x:v>P0328</x:v>
      </x:c>
      <x:c r="B200" t="n">
        <x:v>5</x:v>
      </x:c>
      <x:c r="C200" t="n">
        <x:v>5</x:v>
      </x:c>
      <x:c r="D200" t="n">
        <x:v>66.42</x:v>
      </x:c>
      <x:c r="E200" t="n">
        <x:v>332.1</x:v>
      </x:c>
      <x:c r="F200" t="str">
        <x:f>IFERROR(VLOOKUP(A200,Product_Dim!$A$2:$D$481,4,FALSE),"Missing")</x:f>
        <x:v>Cleaning</x:v>
      </x:c>
      <x:c r="G200" t="str">
        <x:f>IFERROR(INDEX(Product_Dim!$D$2:$D$481,MATCH(A200,Product_Dim!$A$2:$A$481,0)),"Missing")</x:f>
        <x:v>Cleaning</x:v>
      </x:c>
      <x:c r="H200" t="n">
        <x:f>C200*D200</x:f>
        <x:v>332.1</x:v>
      </x:c>
      <x:c r="I200" t="n">
        <x:f>E200-H200</x:f>
        <x:v>0</x:v>
      </x:c>
    </x:row>
    <x:row r="201">
      <x:c r="A201" t="str">
        <x:v>P0317</x:v>
      </x:c>
      <x:c r="B201" t="n">
        <x:v>10</x:v>
      </x:c>
      <x:c r="C201" t="n">
        <x:v>10</x:v>
      </x:c>
      <x:c r="D201" t="n">
        <x:v>133.67</x:v>
      </x:c>
      <x:c r="E201" t="n">
        <x:v>1336.7</x:v>
      </x:c>
      <x:c r="F201" t="str">
        <x:f>IFERROR(VLOOKUP(A201,Product_Dim!$A$2:$D$481,4,FALSE),"Missing")</x:f>
        <x:v>Packaging</x:v>
      </x:c>
      <x:c r="G201" t="str">
        <x:f>IFERROR(INDEX(Product_Dim!$D$2:$D$481,MATCH(A201,Product_Dim!$A$2:$A$481,0)),"Missing")</x:f>
        <x:v>Packaging</x:v>
      </x:c>
      <x:c r="H201" t="n">
        <x:f>C201*D201</x:f>
        <x:v>1336.6999999999998</x:v>
      </x:c>
      <x:c r="I201" t="n">
        <x:f>E201-H201</x:f>
        <x:v>2.2737367544323206e-13</x:v>
      </x:c>
    </x:row>
    <x:row r="202">
      <x:c r="A202" t="str">
        <x:v>P0187</x:v>
      </x:c>
      <x:c r="B202" t="n">
        <x:v>20</x:v>
      </x:c>
      <x:c r="C202" t="n">
        <x:v>20</x:v>
      </x:c>
      <x:c r="D202" t="n">
        <x:v>30.91</x:v>
      </x:c>
      <x:c r="E202" t="n">
        <x:v>618.2</x:v>
      </x:c>
      <x:c r="F202" t="str">
        <x:f>IFERROR(VLOOKUP(A202,Product_Dim!$A$2:$D$481,4,FALSE),"Missing")</x:f>
        <x:v>Household</x:v>
      </x:c>
      <x:c r="G202" t="str">
        <x:f>IFERROR(INDEX(Product_Dim!$D$2:$D$481,MATCH(A202,Product_Dim!$A$2:$A$481,0)),"Missing")</x:f>
        <x:v>Household</x:v>
      </x:c>
      <x:c r="H202" t="n">
        <x:f>C202*D202</x:f>
        <x:v>618.2</x:v>
      </x:c>
      <x:c r="I202" t="n">
        <x:f>E202-H202</x:f>
        <x:v>0</x:v>
      </x:c>
    </x:row>
    <x:row r="203">
      <x:c r="A203" t="str">
        <x:v>P0411</x:v>
      </x:c>
      <x:c r="B203" t="n">
        <x:v>8</x:v>
      </x:c>
      <x:c r="C203" t="n">
        <x:v>0</x:v>
      </x:c>
      <x:c r="D203" t="n">
        <x:v>78.96</x:v>
      </x:c>
      <x:c r="E203" t="str">
        <x:v>0.0</x:v>
      </x:c>
      <x:c r="F203" t="str">
        <x:f>IFERROR(VLOOKUP(A203,Product_Dim!$A$2:$D$481,4,FALSE),"Missing")</x:f>
        <x:v>Household</x:v>
      </x:c>
      <x:c r="G203" t="str">
        <x:f>IFERROR(INDEX(Product_Dim!$D$2:$D$481,MATCH(A203,Product_Dim!$A$2:$A$481,0)),"Missing")</x:f>
        <x:v>Household</x:v>
      </x:c>
      <x:c r="H203" t="n">
        <x:f>C203*D203</x:f>
        <x:v>0</x:v>
      </x:c>
      <x:c r="I203" t="n">
        <x:f>E203-H203</x:f>
        <x:v>0</x:v>
      </x:c>
    </x:row>
    <x:row r="204">
      <x:c r="A204" t="str">
        <x:v>P0014</x:v>
      </x:c>
      <x:c r="B204" t="n">
        <x:v>5</x:v>
      </x:c>
      <x:c r="C204" t="n">
        <x:v>0</x:v>
      </x:c>
      <x:c r="D204" t="n">
        <x:v>33.46</x:v>
      </x:c>
      <x:c r="E204" t="str">
        <x:v>0.0</x:v>
      </x:c>
      <x:c r="F204" t="str">
        <x:f>IFERROR(VLOOKUP(A204,Product_Dim!$A$2:$D$481,4,FALSE),"Missing")</x:f>
        <x:v>Hardware</x:v>
      </x:c>
      <x:c r="G204" t="str">
        <x:f>IFERROR(INDEX(Product_Dim!$D$2:$D$481,MATCH(A204,Product_Dim!$A$2:$A$481,0)),"Missing")</x:f>
        <x:v>Hardware</x:v>
      </x:c>
      <x:c r="H204" t="n">
        <x:f>C204*D204</x:f>
        <x:v>0</x:v>
      </x:c>
      <x:c r="I204" t="n">
        <x:f>E204-H204</x:f>
        <x:v>0</x:v>
      </x:c>
    </x:row>
    <x:row r="205">
      <x:c r="A205" t="str">
        <x:v>P0335</x:v>
      </x:c>
      <x:c r="B205" t="n">
        <x:v>20</x:v>
      </x:c>
      <x:c r="C205" t="n">
        <x:v>20</x:v>
      </x:c>
      <x:c r="D205" t="n">
        <x:v>161.76</x:v>
      </x:c>
      <x:c r="E205" t="n">
        <x:v>3235.2</x:v>
      </x:c>
      <x:c r="F205" t="str">
        <x:f>IFERROR(VLOOKUP(A205,Product_Dim!$A$2:$D$481,4,FALSE),"Missing")</x:f>
        <x:v>Electrical</x:v>
      </x:c>
      <x:c r="G205" t="str">
        <x:f>IFERROR(INDEX(Product_Dim!$D$2:$D$481,MATCH(A205,Product_Dim!$A$2:$A$481,0)),"Missing")</x:f>
        <x:v>Electrical</x:v>
      </x:c>
      <x:c r="H205" t="n">
        <x:f>C205*D205</x:f>
        <x:v>3235.2</x:v>
      </x:c>
      <x:c r="I205" t="n">
        <x:f>E205-H205</x:f>
        <x:v>0</x:v>
      </x:c>
    </x:row>
    <x:row r="206">
      <x:c r="A206" t="str">
        <x:v>P0237</x:v>
      </x:c>
      <x:c r="B206" t="n">
        <x:v>20</x:v>
      </x:c>
      <x:c r="C206" t="n">
        <x:v>20</x:v>
      </x:c>
      <x:c r="D206" t="n">
        <x:v>188.7</x:v>
      </x:c>
      <x:c r="E206" t="n">
        <x:v>3774</x:v>
      </x:c>
      <x:c r="F206" t="str">
        <x:f>IFERROR(VLOOKUP(A206,Product_Dim!$A$2:$D$481,4,FALSE),"Missing")</x:f>
        <x:v>Packaging</x:v>
      </x:c>
      <x:c r="G206" t="str">
        <x:f>IFERROR(INDEX(Product_Dim!$D$2:$D$481,MATCH(A206,Product_Dim!$A$2:$A$481,0)),"Missing")</x:f>
        <x:v>Packaging</x:v>
      </x:c>
      <x:c r="H206" t="n">
        <x:f>C206*D206</x:f>
        <x:v>3774</x:v>
      </x:c>
      <x:c r="I206" t="n">
        <x:f>E206-H206</x:f>
        <x:v>0</x:v>
      </x:c>
    </x:row>
    <x:row r="207">
      <x:c r="A207" t="str">
        <x:v>P0464</x:v>
      </x:c>
      <x:c r="B207" t="n">
        <x:v>10</x:v>
      </x:c>
      <x:c r="C207" t="n">
        <x:v>10</x:v>
      </x:c>
      <x:c r="D207" t="n">
        <x:v>144.6</x:v>
      </x:c>
      <x:c r="E207" t="n">
        <x:v>1446</x:v>
      </x:c>
      <x:c r="F207" t="str">
        <x:f>IFERROR(VLOOKUP(A207,Product_Dim!$A$2:$D$481,4,FALSE),"Missing")</x:f>
        <x:v>Cleaning</x:v>
      </x:c>
      <x:c r="G207" t="str">
        <x:f>IFERROR(INDEX(Product_Dim!$D$2:$D$481,MATCH(A207,Product_Dim!$A$2:$A$481,0)),"Missing")</x:f>
        <x:v>Cleaning</x:v>
      </x:c>
      <x:c r="H207" t="n">
        <x:f>C207*D207</x:f>
        <x:v>1446</x:v>
      </x:c>
      <x:c r="I207" t="n">
        <x:f>E207-H207</x:f>
        <x:v>0</x:v>
      </x:c>
    </x:row>
    <x:row r="208">
      <x:c r="A208" t="str">
        <x:v>P0006</x:v>
      </x:c>
      <x:c r="B208" t="n">
        <x:v>5</x:v>
      </x:c>
      <x:c r="C208" t="n">
        <x:v>5</x:v>
      </x:c>
      <x:c r="D208" t="n">
        <x:v>64.13</x:v>
      </x:c>
      <x:c r="E208" t="n">
        <x:v>320.65</x:v>
      </x:c>
      <x:c r="F208" t="str">
        <x:f>IFERROR(VLOOKUP(A208,Product_Dim!$A$2:$D$481,4,FALSE),"Missing")</x:f>
        <x:v>Hardware</x:v>
      </x:c>
      <x:c r="G208" t="str">
        <x:f>IFERROR(INDEX(Product_Dim!$D$2:$D$481,MATCH(A208,Product_Dim!$A$2:$A$481,0)),"Missing")</x:f>
        <x:v>Hardware</x:v>
      </x:c>
      <x:c r="H208" t="n">
        <x:f>C208*D208</x:f>
        <x:v>320.65</x:v>
      </x:c>
      <x:c r="I208" t="n">
        <x:f>E208-H208</x:f>
        <x:v>0</x:v>
      </x:c>
    </x:row>
    <x:row r="209">
      <x:c r="A209" t="str">
        <x:v>P0055</x:v>
      </x:c>
      <x:c r="B209" t="n">
        <x:v>8</x:v>
      </x:c>
      <x:c r="C209" t="n">
        <x:v>8</x:v>
      </x:c>
      <x:c r="D209" t="n">
        <x:v>57.04</x:v>
      </x:c>
      <x:c r="E209" t="n">
        <x:v>456.32</x:v>
      </x:c>
      <x:c r="F209" t="str">
        <x:f>IFERROR(VLOOKUP(A209,Product_Dim!$A$2:$D$481,4,FALSE),"Missing")</x:f>
        <x:v>Electrical</x:v>
      </x:c>
      <x:c r="G209" t="str">
        <x:f>IFERROR(INDEX(Product_Dim!$D$2:$D$481,MATCH(A209,Product_Dim!$A$2:$A$481,0)),"Missing")</x:f>
        <x:v>Electrical</x:v>
      </x:c>
      <x:c r="H209" t="n">
        <x:f>C209*D209</x:f>
        <x:v>456.32</x:v>
      </x:c>
      <x:c r="I209" t="n">
        <x:f>E209-H209</x:f>
        <x:v>0</x:v>
      </x:c>
    </x:row>
    <x:row r="210">
      <x:c r="A210" t="str">
        <x:v>P0298</x:v>
      </x:c>
      <x:c r="B210" t="n">
        <x:v>8</x:v>
      </x:c>
      <x:c r="C210" t="n">
        <x:v>8</x:v>
      </x:c>
      <x:c r="D210" t="n">
        <x:v>147.23</x:v>
      </x:c>
      <x:c r="E210" t="n">
        <x:v>1177.84</x:v>
      </x:c>
      <x:c r="F210" t="str">
        <x:f>IFERROR(VLOOKUP(A210,Product_Dim!$A$2:$D$481,4,FALSE),"Missing")</x:f>
        <x:v>Dry Grocery</x:v>
      </x:c>
      <x:c r="G210" t="str">
        <x:f>IFERROR(INDEX(Product_Dim!$D$2:$D$481,MATCH(A210,Product_Dim!$A$2:$A$481,0)),"Missing")</x:f>
        <x:v>Dry Grocery</x:v>
      </x:c>
      <x:c r="H210" t="n">
        <x:f>C210*D210</x:f>
        <x:v>1177.84</x:v>
      </x:c>
      <x:c r="I210" t="n">
        <x:f>E210-H210</x:f>
        <x:v>0</x:v>
      </x:c>
    </x:row>
    <x:row r="211">
      <x:c r="A211" t="str">
        <x:v>P0403</x:v>
      </x:c>
      <x:c r="B211" t="n">
        <x:v>30</x:v>
      </x:c>
      <x:c r="C211" t="n">
        <x:v>30</x:v>
      </x:c>
      <x:c r="D211" t="n">
        <x:v>166.25</x:v>
      </x:c>
      <x:c r="E211" t="n">
        <x:v>4987.5</x:v>
      </x:c>
      <x:c r="F211" t="str">
        <x:f>IFERROR(VLOOKUP(A211,Product_Dim!$A$2:$D$481,4,FALSE),"Missing")</x:f>
        <x:v>Household</x:v>
      </x:c>
      <x:c r="G211" t="str">
        <x:f>IFERROR(INDEX(Product_Dim!$D$2:$D$481,MATCH(A211,Product_Dim!$A$2:$A$481,0)),"Missing")</x:f>
        <x:v>Household</x:v>
      </x:c>
      <x:c r="H211" t="n">
        <x:f>C211*D211</x:f>
        <x:v>4987.5</x:v>
      </x:c>
      <x:c r="I211" t="n">
        <x:f>E211-H211</x:f>
        <x:v>0</x:v>
      </x:c>
    </x:row>
    <x:row r="212">
      <x:c r="A212" t="str">
        <x:v>P0227</x:v>
      </x:c>
      <x:c r="B212" t="n">
        <x:v>20</x:v>
      </x:c>
      <x:c r="C212" t="n">
        <x:v>0</x:v>
      </x:c>
      <x:c r="D212" t="n">
        <x:v>180.84</x:v>
      </x:c>
      <x:c r="E212" t="str">
        <x:v>0.0</x:v>
      </x:c>
      <x:c r="F212" t="str">
        <x:f>IFERROR(VLOOKUP(A212,Product_Dim!$A$2:$D$481,4,FALSE),"Missing")</x:f>
        <x:v>Household</x:v>
      </x:c>
      <x:c r="G212" t="str">
        <x:f>IFERROR(INDEX(Product_Dim!$D$2:$D$481,MATCH(A212,Product_Dim!$A$2:$A$481,0)),"Missing")</x:f>
        <x:v>Household</x:v>
      </x:c>
      <x:c r="H212" t="n">
        <x:f>C212*D212</x:f>
        <x:v>0</x:v>
      </x:c>
      <x:c r="I212" t="n">
        <x:f>E212-H212</x:f>
        <x:v>0</x:v>
      </x:c>
    </x:row>
    <x:row r="213">
      <x:c r="A213" t="str">
        <x:v>P0009</x:v>
      </x:c>
      <x:c r="B213" t="n">
        <x:v>15</x:v>
      </x:c>
      <x:c r="C213" t="n">
        <x:v>15</x:v>
      </x:c>
      <x:c r="D213" t="n">
        <x:v>187.38</x:v>
      </x:c>
      <x:c r="E213" t="n">
        <x:v>2810.7</x:v>
      </x:c>
      <x:c r="F213" t="str">
        <x:f>IFERROR(VLOOKUP(A213,Product_Dim!$A$2:$D$481,4,FALSE),"Missing")</x:f>
        <x:v>Beverages</x:v>
      </x:c>
      <x:c r="G213" t="str">
        <x:f>IFERROR(INDEX(Product_Dim!$D$2:$D$481,MATCH(A213,Product_Dim!$A$2:$A$481,0)),"Missing")</x:f>
        <x:v>Beverages</x:v>
      </x:c>
      <x:c r="H213" t="n">
        <x:f>C213*D213</x:f>
        <x:v>2810.7</x:v>
      </x:c>
      <x:c r="I213" t="n">
        <x:f>E213-H213</x:f>
        <x:v>0</x:v>
      </x:c>
    </x:row>
    <x:row r="214">
      <x:c r="A214" t="str">
        <x:v>P0090</x:v>
      </x:c>
      <x:c r="B214" t="n">
        <x:v>5</x:v>
      </x:c>
      <x:c r="C214" t="n">
        <x:v>5</x:v>
      </x:c>
      <x:c r="D214" t="n">
        <x:v>69.87</x:v>
      </x:c>
      <x:c r="E214" t="n">
        <x:v>349.35</x:v>
      </x:c>
      <x:c r="F214" t="str">
        <x:f>IFERROR(VLOOKUP(A214,Product_Dim!$A$2:$D$481,4,FALSE),"Missing")</x:f>
        <x:v>Dry Grocery</x:v>
      </x:c>
      <x:c r="G214" t="str">
        <x:f>IFERROR(INDEX(Product_Dim!$D$2:$D$481,MATCH(A214,Product_Dim!$A$2:$A$481,0)),"Missing")</x:f>
        <x:v>Dry Grocery</x:v>
      </x:c>
      <x:c r="H214" t="n">
        <x:f>C214*D214</x:f>
        <x:v>349.35</x:v>
      </x:c>
      <x:c r="I214" t="n">
        <x:f>E214-H214</x:f>
        <x:v>0</x:v>
      </x:c>
    </x:row>
    <x:row r="215">
      <x:c r="A215" t="str">
        <x:v>P0073</x:v>
      </x:c>
      <x:c r="B215" t="n">
        <x:v>20</x:v>
      </x:c>
      <x:c r="C215" t="n">
        <x:v>20</x:v>
      </x:c>
      <x:c r="D215" t="n">
        <x:v>112.99</x:v>
      </x:c>
      <x:c r="E215" t="n">
        <x:v>2259.8</x:v>
      </x:c>
      <x:c r="F215" t="str">
        <x:f>IFERROR(VLOOKUP(A215,Product_Dim!$A$2:$D$481,4,FALSE),"Missing")</x:f>
        <x:v>Beverages</x:v>
      </x:c>
      <x:c r="G215" t="str">
        <x:f>IFERROR(INDEX(Product_Dim!$D$2:$D$481,MATCH(A215,Product_Dim!$A$2:$A$481,0)),"Missing")</x:f>
        <x:v>Beverages</x:v>
      </x:c>
      <x:c r="H215" t="n">
        <x:f>C215*D215</x:f>
        <x:v>2259.7999999999997</x:v>
      </x:c>
      <x:c r="I215" t="n">
        <x:f>E215-H215</x:f>
        <x:v>4.547473508864641e-13</x:v>
      </x:c>
    </x:row>
    <x:row r="216">
      <x:c r="A216" t="str">
        <x:v>P0464</x:v>
      </x:c>
      <x:c r="B216" t="n">
        <x:v>10</x:v>
      </x:c>
      <x:c r="C216" t="n">
        <x:v>10</x:v>
      </x:c>
      <x:c r="D216" t="n">
        <x:v>144.6</x:v>
      </x:c>
      <x:c r="E216" t="n">
        <x:v>1446</x:v>
      </x:c>
      <x:c r="F216" t="str">
        <x:f>IFERROR(VLOOKUP(A216,Product_Dim!$A$2:$D$481,4,FALSE),"Missing")</x:f>
        <x:v>Cleaning</x:v>
      </x:c>
      <x:c r="G216" t="str">
        <x:f>IFERROR(INDEX(Product_Dim!$D$2:$D$481,MATCH(A216,Product_Dim!$A$2:$A$481,0)),"Missing")</x:f>
        <x:v>Cleaning</x:v>
      </x:c>
      <x:c r="H216" t="n">
        <x:f>C216*D216</x:f>
        <x:v>1446</x:v>
      </x:c>
      <x:c r="I216" t="n">
        <x:f>E216-H216</x:f>
        <x:v>0</x:v>
      </x:c>
    </x:row>
    <x:row r="217">
      <x:c r="A217" t="str">
        <x:v>P0144</x:v>
      </x:c>
      <x:c r="B217" t="n">
        <x:v>20</x:v>
      </x:c>
      <x:c r="C217" t="n">
        <x:v>20</x:v>
      </x:c>
      <x:c r="D217" t="n">
        <x:v>160.09</x:v>
      </x:c>
      <x:c r="E217" t="n">
        <x:v>3201.8</x:v>
      </x:c>
      <x:c r="F217" t="str">
        <x:f>IFERROR(VLOOKUP(A217,Product_Dim!$A$2:$D$481,4,FALSE),"Missing")</x:f>
        <x:v>Cleaning</x:v>
      </x:c>
      <x:c r="G217" t="str">
        <x:f>IFERROR(INDEX(Product_Dim!$D$2:$D$481,MATCH(A217,Product_Dim!$A$2:$A$481,0)),"Missing")</x:f>
        <x:v>Cleaning</x:v>
      </x:c>
      <x:c r="H217" t="n">
        <x:f>C217*D217</x:f>
        <x:v>3201.8</x:v>
      </x:c>
      <x:c r="I217" t="n">
        <x:f>E217-H217</x:f>
        <x:v>0</x:v>
      </x:c>
    </x:row>
    <x:row r="218">
      <x:c r="A218" t="str">
        <x:v>P0279</x:v>
      </x:c>
      <x:c r="B218" t="n">
        <x:v>15</x:v>
      </x:c>
      <x:c r="C218" t="n">
        <x:v>15</x:v>
      </x:c>
      <x:c r="D218" t="n">
        <x:v>174.92</x:v>
      </x:c>
      <x:c r="E218" t="n">
        <x:v>2623.8</x:v>
      </x:c>
      <x:c r="F218" t="str">
        <x:f>IFERROR(VLOOKUP(A218,Product_Dim!$A$2:$D$481,4,FALSE),"Missing")</x:f>
        <x:v>Electrical</x:v>
      </x:c>
      <x:c r="G218" t="str">
        <x:f>IFERROR(INDEX(Product_Dim!$D$2:$D$481,MATCH(A218,Product_Dim!$A$2:$A$481,0)),"Missing")</x:f>
        <x:v>Electrical</x:v>
      </x:c>
      <x:c r="H218" t="n">
        <x:f>C218*D218</x:f>
        <x:v>2623.7999999999997</x:v>
      </x:c>
      <x:c r="I218" t="n">
        <x:f>E218-H218</x:f>
        <x:v>4.547473508864641e-13</x:v>
      </x:c>
    </x:row>
    <x:row r="219">
      <x:c r="A219" t="str">
        <x:v>P0133</x:v>
      </x:c>
      <x:c r="B219" t="n">
        <x:v>30</x:v>
      </x:c>
      <x:c r="C219" t="n">
        <x:v>30</x:v>
      </x:c>
      <x:c r="D219" t="n">
        <x:v>109.07</x:v>
      </x:c>
      <x:c r="E219" t="n">
        <x:v>3272.1</x:v>
      </x:c>
      <x:c r="F219" t="str">
        <x:f>IFERROR(VLOOKUP(A219,Product_Dim!$A$2:$D$481,4,FALSE),"Missing")</x:f>
        <x:v>Packaging</x:v>
      </x:c>
      <x:c r="G219" t="str">
        <x:f>IFERROR(INDEX(Product_Dim!$D$2:$D$481,MATCH(A219,Product_Dim!$A$2:$A$481,0)),"Missing")</x:f>
        <x:v>Packaging</x:v>
      </x:c>
      <x:c r="H219" t="n">
        <x:f>C219*D219</x:f>
        <x:v>3272.1</x:v>
      </x:c>
      <x:c r="I219" t="n">
        <x:f>E219-H219</x:f>
        <x:v>0</x:v>
      </x:c>
    </x:row>
    <x:row r="220">
      <x:c r="A220" t="str">
        <x:v>P0330</x:v>
      </x:c>
      <x:c r="B220" t="n">
        <x:v>15</x:v>
      </x:c>
      <x:c r="C220" t="n">
        <x:v>15</x:v>
      </x:c>
      <x:c r="D220" t="n">
        <x:v>90.92</x:v>
      </x:c>
      <x:c r="E220" t="n">
        <x:v>1363.8</x:v>
      </x:c>
      <x:c r="F220" t="str">
        <x:f>IFERROR(VLOOKUP(A220,Product_Dim!$A$2:$D$481,4,FALSE),"Missing")</x:f>
        <x:v>Dry Grocery</x:v>
      </x:c>
      <x:c r="G220" t="str">
        <x:f>IFERROR(INDEX(Product_Dim!$D$2:$D$481,MATCH(A220,Product_Dim!$A$2:$A$481,0)),"Missing")</x:f>
        <x:v>Dry Grocery</x:v>
      </x:c>
      <x:c r="H220" t="n">
        <x:f>C220*D220</x:f>
        <x:v>1363.8</x:v>
      </x:c>
      <x:c r="I220" t="n">
        <x:f>E220-H220</x:f>
        <x:v>0</x:v>
      </x:c>
    </x:row>
    <x:row r="221">
      <x:c r="A221" t="str">
        <x:v>P0308</x:v>
      </x:c>
      <x:c r="B221" t="n">
        <x:v>10</x:v>
      </x:c>
      <x:c r="C221" t="n">
        <x:v>0</x:v>
      </x:c>
      <x:c r="D221" t="n">
        <x:v>22.63</x:v>
      </x:c>
      <x:c r="E221" t="str">
        <x:v>0.0</x:v>
      </x:c>
      <x:c r="F221" t="str">
        <x:f>IFERROR(VLOOKUP(A221,Product_Dim!$A$2:$D$481,4,FALSE),"Missing")</x:f>
        <x:v>Personal Care</x:v>
      </x:c>
      <x:c r="G221" t="str">
        <x:f>IFERROR(INDEX(Product_Dim!$D$2:$D$481,MATCH(A221,Product_Dim!$A$2:$A$481,0)),"Missing")</x:f>
        <x:v>Personal Care</x:v>
      </x:c>
      <x:c r="H221" t="n">
        <x:f>C221*D221</x:f>
        <x:v>0</x:v>
      </x:c>
      <x:c r="I221" t="n">
        <x:f>E221-H221</x:f>
        <x:v>0</x:v>
      </x:c>
    </x:row>
    <x:row r="222">
      <x:c r="A222" t="str">
        <x:v>P0362</x:v>
      </x:c>
      <x:c r="B222" t="n">
        <x:v>15</x:v>
      </x:c>
      <x:c r="C222" t="n">
        <x:v>15</x:v>
      </x:c>
      <x:c r="D222" t="n">
        <x:v>194.57</x:v>
      </x:c>
      <x:c r="E222" t="n">
        <x:v>2918.55</x:v>
      </x:c>
      <x:c r="F222" t="str">
        <x:f>IFERROR(VLOOKUP(A222,Product_Dim!$A$2:$D$481,4,FALSE),"Missing")</x:f>
        <x:v>Dry Grocery</x:v>
      </x:c>
      <x:c r="G222" t="str">
        <x:f>IFERROR(INDEX(Product_Dim!$D$2:$D$481,MATCH(A222,Product_Dim!$A$2:$A$481,0)),"Missing")</x:f>
        <x:v>Dry Grocery</x:v>
      </x:c>
      <x:c r="H222" t="n">
        <x:f>C222*D222</x:f>
        <x:v>2918.5499999999997</x:v>
      </x:c>
      <x:c r="I222" t="n">
        <x:f>E222-H222</x:f>
        <x:v>4.547473508864641e-13</x:v>
      </x:c>
    </x:row>
    <x:row r="223">
      <x:c r="A223" t="str">
        <x:v>P0480</x:v>
      </x:c>
      <x:c r="B223" t="n">
        <x:v>30</x:v>
      </x:c>
      <x:c r="C223" t="n">
        <x:v>30</x:v>
      </x:c>
      <x:c r="D223" t="n">
        <x:v>106.62</x:v>
      </x:c>
      <x:c r="E223" t="n">
        <x:v>3198.6</x:v>
      </x:c>
      <x:c r="F223" t="str">
        <x:f>IFERROR(VLOOKUP(A223,Product_Dim!$A$2:$D$481,4,FALSE),"Missing")</x:f>
        <x:v>Cleaning</x:v>
      </x:c>
      <x:c r="G223" t="str">
        <x:f>IFERROR(INDEX(Product_Dim!$D$2:$D$481,MATCH(A223,Product_Dim!$A$2:$A$481,0)),"Missing")</x:f>
        <x:v>Cleaning</x:v>
      </x:c>
      <x:c r="H223" t="n">
        <x:f>C223*D223</x:f>
        <x:v>3198.6000000000004</x:v>
      </x:c>
      <x:c r="I223" t="n">
        <x:f>E223-H223</x:f>
        <x:v>-4.547473508864641e-13</x:v>
      </x:c>
    </x:row>
    <x:row r="224">
      <x:c r="A224" t="str">
        <x:v>P0426</x:v>
      </x:c>
      <x:c r="B224" t="n">
        <x:v>8</x:v>
      </x:c>
      <x:c r="C224" t="n">
        <x:v>8</x:v>
      </x:c>
      <x:c r="D224" t="n">
        <x:v>59.04</x:v>
      </x:c>
      <x:c r="E224" t="n">
        <x:v>472.32</x:v>
      </x:c>
      <x:c r="F224" t="str">
        <x:f>IFERROR(VLOOKUP(A224,Product_Dim!$A$2:$D$481,4,FALSE),"Missing")</x:f>
        <x:v>Dry Grocery</x:v>
      </x:c>
      <x:c r="G224" t="str">
        <x:f>IFERROR(INDEX(Product_Dim!$D$2:$D$481,MATCH(A224,Product_Dim!$A$2:$A$481,0)),"Missing")</x:f>
        <x:v>Dry Grocery</x:v>
      </x:c>
      <x:c r="H224" t="n">
        <x:f>C224*D224</x:f>
        <x:v>472.32</x:v>
      </x:c>
      <x:c r="I224" t="n">
        <x:f>E224-H224</x:f>
        <x:v>0</x:v>
      </x:c>
    </x:row>
    <x:row r="225">
      <x:c r="A225" t="str">
        <x:v>P0357</x:v>
      </x:c>
      <x:c r="B225" t="n">
        <x:v>8</x:v>
      </x:c>
      <x:c r="C225" t="n">
        <x:v>8</x:v>
      </x:c>
      <x:c r="D225" t="n">
        <x:v>97.64</x:v>
      </x:c>
      <x:c r="E225" t="n">
        <x:v>781.12</x:v>
      </x:c>
      <x:c r="F225" t="str">
        <x:f>IFERROR(VLOOKUP(A225,Product_Dim!$A$2:$D$481,4,FALSE),"Missing")</x:f>
        <x:v>Packaging</x:v>
      </x:c>
      <x:c r="G225" t="str">
        <x:f>IFERROR(INDEX(Product_Dim!$D$2:$D$481,MATCH(A225,Product_Dim!$A$2:$A$481,0)),"Missing")</x:f>
        <x:v>Packaging</x:v>
      </x:c>
      <x:c r="H225" t="n">
        <x:f>C225*D225</x:f>
        <x:v>781.12</x:v>
      </x:c>
      <x:c r="I225" t="n">
        <x:f>E225-H225</x:f>
        <x:v>0</x:v>
      </x:c>
    </x:row>
    <x:row r="226">
      <x:c r="A226" t="str">
        <x:v>P0162</x:v>
      </x:c>
      <x:c r="B226" t="n">
        <x:v>60</x:v>
      </x:c>
      <x:c r="C226" t="n">
        <x:v>60</x:v>
      </x:c>
      <x:c r="D226" t="n">
        <x:v>99.29</x:v>
      </x:c>
      <x:c r="E226" t="n">
        <x:v>5957.4</x:v>
      </x:c>
      <x:c r="F226" t="str">
        <x:f>IFERROR(VLOOKUP(A226,Product_Dim!$A$2:$D$481,4,FALSE),"Missing")</x:f>
        <x:v>Dry Grocery</x:v>
      </x:c>
      <x:c r="G226" t="str">
        <x:f>IFERROR(INDEX(Product_Dim!$D$2:$D$481,MATCH(A226,Product_Dim!$A$2:$A$481,0)),"Missing")</x:f>
        <x:v>Dry Grocery</x:v>
      </x:c>
      <x:c r="H226" t="n">
        <x:f>C226*D226</x:f>
        <x:v>5957.400000000001</x:v>
      </x:c>
      <x:c r="I226" t="n">
        <x:f>E226-H226</x:f>
        <x:v>-9.094947017729282e-13</x:v>
      </x:c>
    </x:row>
    <x:row r="227">
      <x:c r="A227" t="str">
        <x:v>P0015</x:v>
      </x:c>
      <x:c r="B227" t="n">
        <x:v>10</x:v>
      </x:c>
      <x:c r="C227" t="n">
        <x:v>10</x:v>
      </x:c>
      <x:c r="D227" t="n">
        <x:v>95.52</x:v>
      </x:c>
      <x:c r="E227" t="n">
        <x:v>955.2</x:v>
      </x:c>
      <x:c r="F227" t="str">
        <x:f>IFERROR(VLOOKUP(A227,Product_Dim!$A$2:$D$481,4,FALSE),"Missing")</x:f>
        <x:v>Electrical</x:v>
      </x:c>
      <x:c r="G227" t="str">
        <x:f>IFERROR(INDEX(Product_Dim!$D$2:$D$481,MATCH(A227,Product_Dim!$A$2:$A$481,0)),"Missing")</x:f>
        <x:v>Electrical</x:v>
      </x:c>
      <x:c r="H227" t="n">
        <x:f>C227*D227</x:f>
        <x:v>955.1999999999999</x:v>
      </x:c>
      <x:c r="I227" t="n">
        <x:f>E227-H227</x:f>
        <x:v>1.1368683772161603e-13</x:v>
      </x:c>
    </x:row>
    <x:row r="228">
      <x:c r="A228" t="str">
        <x:v>P0328</x:v>
      </x:c>
      <x:c r="B228" t="n">
        <x:v>5</x:v>
      </x:c>
      <x:c r="C228" t="n">
        <x:v>5</x:v>
      </x:c>
      <x:c r="D228" t="n">
        <x:v>66.42</x:v>
      </x:c>
      <x:c r="E228" t="n">
        <x:v>332.1</x:v>
      </x:c>
      <x:c r="F228" t="str">
        <x:f>IFERROR(VLOOKUP(A228,Product_Dim!$A$2:$D$481,4,FALSE),"Missing")</x:f>
        <x:v>Cleaning</x:v>
      </x:c>
      <x:c r="G228" t="str">
        <x:f>IFERROR(INDEX(Product_Dim!$D$2:$D$481,MATCH(A228,Product_Dim!$A$2:$A$481,0)),"Missing")</x:f>
        <x:v>Cleaning</x:v>
      </x:c>
      <x:c r="H228" t="n">
        <x:f>C228*D228</x:f>
        <x:v>332.1</x:v>
      </x:c>
      <x:c r="I228" t="n">
        <x:f>E228-H228</x:f>
        <x:v>0</x:v>
      </x:c>
    </x:row>
    <x:row r="229">
      <x:c r="A229" t="str">
        <x:v>P0006</x:v>
      </x:c>
      <x:c r="B229" t="n">
        <x:v>3</x:v>
      </x:c>
      <x:c r="C229" t="n">
        <x:v>0</x:v>
      </x:c>
      <x:c r="D229" t="n">
        <x:v>64.13</x:v>
      </x:c>
      <x:c r="E229" t="str">
        <x:v>0.0</x:v>
      </x:c>
      <x:c r="F229" t="str">
        <x:f>IFERROR(VLOOKUP(A229,Product_Dim!$A$2:$D$481,4,FALSE),"Missing")</x:f>
        <x:v>Hardware</x:v>
      </x:c>
      <x:c r="G229" t="str">
        <x:f>IFERROR(INDEX(Product_Dim!$D$2:$D$481,MATCH(A229,Product_Dim!$A$2:$A$481,0)),"Missing")</x:f>
        <x:v>Hardware</x:v>
      </x:c>
      <x:c r="H229" t="n">
        <x:f>C229*D229</x:f>
        <x:v>0</x:v>
      </x:c>
      <x:c r="I229" t="n">
        <x:f>E229-H229</x:f>
        <x:v>0</x:v>
      </x:c>
    </x:row>
    <x:row r="230">
      <x:c r="A230" t="str">
        <x:v>P0261</x:v>
      </x:c>
      <x:c r="B230" t="n">
        <x:v>8</x:v>
      </x:c>
      <x:c r="C230" t="n">
        <x:v>8</x:v>
      </x:c>
      <x:c r="D230" t="n">
        <x:v>21.5</x:v>
      </x:c>
      <x:c r="E230" t="n">
        <x:v>172</x:v>
      </x:c>
      <x:c r="F230" t="str">
        <x:f>IFERROR(VLOOKUP(A230,Product_Dim!$A$2:$D$481,4,FALSE),"Missing")</x:f>
        <x:v>Packaging</x:v>
      </x:c>
      <x:c r="G230" t="str">
        <x:f>IFERROR(INDEX(Product_Dim!$D$2:$D$481,MATCH(A230,Product_Dim!$A$2:$A$481,0)),"Missing")</x:f>
        <x:v>Packaging</x:v>
      </x:c>
      <x:c r="H230" t="n">
        <x:f>C230*D230</x:f>
        <x:v>172</x:v>
      </x:c>
      <x:c r="I230" t="n">
        <x:f>E230-H230</x:f>
        <x:v>0</x:v>
      </x:c>
    </x:row>
    <x:row r="231">
      <x:c r="A231" t="str">
        <x:v>P0422</x:v>
      </x:c>
      <x:c r="B231" t="n">
        <x:v>40</x:v>
      </x:c>
      <x:c r="C231" t="n">
        <x:v>40</x:v>
      </x:c>
      <x:c r="D231" t="n">
        <x:v>142.95</x:v>
      </x:c>
      <x:c r="E231" t="n">
        <x:v>5718</x:v>
      </x:c>
      <x:c r="F231" t="str">
        <x:f>IFERROR(VLOOKUP(A231,Product_Dim!$A$2:$D$481,4,FALSE),"Missing")</x:f>
        <x:v>Hardware</x:v>
      </x:c>
      <x:c r="G231" t="str">
        <x:f>IFERROR(INDEX(Product_Dim!$D$2:$D$481,MATCH(A231,Product_Dim!$A$2:$A$481,0)),"Missing")</x:f>
        <x:v>Hardware</x:v>
      </x:c>
      <x:c r="H231" t="n">
        <x:f>C231*D231</x:f>
        <x:v>5718</x:v>
      </x:c>
      <x:c r="I231" t="n">
        <x:f>E231-H231</x:f>
        <x:v>0</x:v>
      </x:c>
    </x:row>
    <x:row r="232">
      <x:c r="A232" t="str">
        <x:v>P0072</x:v>
      </x:c>
      <x:c r="B232" t="n">
        <x:v>30</x:v>
      </x:c>
      <x:c r="C232" t="n">
        <x:v>30</x:v>
      </x:c>
      <x:c r="D232" t="n">
        <x:v>55.01</x:v>
      </x:c>
      <x:c r="E232" t="n">
        <x:v>1650.3</x:v>
      </x:c>
      <x:c r="F232" t="str">
        <x:f>IFERROR(VLOOKUP(A232,Product_Dim!$A$2:$D$481,4,FALSE),"Missing")</x:f>
        <x:v>Cleaning</x:v>
      </x:c>
      <x:c r="G232" t="str">
        <x:f>IFERROR(INDEX(Product_Dim!$D$2:$D$481,MATCH(A232,Product_Dim!$A$2:$A$481,0)),"Missing")</x:f>
        <x:v>Cleaning</x:v>
      </x:c>
      <x:c r="H232" t="n">
        <x:f>C232*D232</x:f>
        <x:v>1650.3</x:v>
      </x:c>
      <x:c r="I232" t="n">
        <x:f>E232-H232</x:f>
        <x:v>0</x:v>
      </x:c>
    </x:row>
    <x:row r="233">
      <x:c r="A233" t="str">
        <x:v>P0021</x:v>
      </x:c>
      <x:c r="B233" t="n">
        <x:v>5</x:v>
      </x:c>
      <x:c r="C233" t="n">
        <x:v>0</x:v>
      </x:c>
      <x:c r="D233" t="n">
        <x:v>144.78</x:v>
      </x:c>
      <x:c r="E233" t="str">
        <x:v>0.0</x:v>
      </x:c>
      <x:c r="F233" t="str">
        <x:f>IFERROR(VLOOKUP(A233,Product_Dim!$A$2:$D$481,4,FALSE),"Missing")</x:f>
        <x:v>Packaging</x:v>
      </x:c>
      <x:c r="G233" t="str">
        <x:f>IFERROR(INDEX(Product_Dim!$D$2:$D$481,MATCH(A233,Product_Dim!$A$2:$A$481,0)),"Missing")</x:f>
        <x:v>Packaging</x:v>
      </x:c>
      <x:c r="H233" t="n">
        <x:f>C233*D233</x:f>
        <x:v>0</x:v>
      </x:c>
      <x:c r="I233" t="n">
        <x:f>E233-H233</x:f>
        <x:v>0</x:v>
      </x:c>
    </x:row>
    <x:row r="234">
      <x:c r="A234" t="str">
        <x:v>P0473</x:v>
      </x:c>
      <x:c r="B234" t="n">
        <x:v>5</x:v>
      </x:c>
      <x:c r="C234" t="n">
        <x:v>0</x:v>
      </x:c>
      <x:c r="D234" t="n">
        <x:v>28.43</x:v>
      </x:c>
      <x:c r="E234" t="str">
        <x:v>0.0</x:v>
      </x:c>
      <x:c r="F234" t="str">
        <x:f>IFERROR(VLOOKUP(A234,Product_Dim!$A$2:$D$481,4,FALSE),"Missing")</x:f>
        <x:v>Beverages</x:v>
      </x:c>
      <x:c r="G234" t="str">
        <x:f>IFERROR(INDEX(Product_Dim!$D$2:$D$481,MATCH(A234,Product_Dim!$A$2:$A$481,0)),"Missing")</x:f>
        <x:v>Beverages</x:v>
      </x:c>
      <x:c r="H234" t="n">
        <x:f>C234*D234</x:f>
        <x:v>0</x:v>
      </x:c>
      <x:c r="I234" t="n">
        <x:f>E234-H234</x:f>
        <x:v>0</x:v>
      </x:c>
    </x:row>
    <x:row r="235">
      <x:c r="A235" t="str">
        <x:v>P0044</x:v>
      </x:c>
      <x:c r="B235" t="n">
        <x:v>5</x:v>
      </x:c>
      <x:c r="C235" t="n">
        <x:v>5</x:v>
      </x:c>
      <x:c r="D235" t="n">
        <x:v>117.49</x:v>
      </x:c>
      <x:c r="E235" t="n">
        <x:v>587.45</x:v>
      </x:c>
      <x:c r="F235" t="str">
        <x:f>IFERROR(VLOOKUP(A235,Product_Dim!$A$2:$D$481,4,FALSE),"Missing")</x:f>
        <x:v>Personal Care</x:v>
      </x:c>
      <x:c r="G235" t="str">
        <x:f>IFERROR(INDEX(Product_Dim!$D$2:$D$481,MATCH(A235,Product_Dim!$A$2:$A$481,0)),"Missing")</x:f>
        <x:v>Personal Care</x:v>
      </x:c>
      <x:c r="H235" t="n">
        <x:f>C235*D235</x:f>
        <x:v>587.4499999999999</x:v>
      </x:c>
      <x:c r="I235" t="n">
        <x:f>E235-H235</x:f>
        <x:v>1.1368683772161603e-13</x:v>
      </x:c>
    </x:row>
    <x:row r="236">
      <x:c r="A236" t="str">
        <x:v>P0163</x:v>
      </x:c>
      <x:c r="B236" t="n">
        <x:v>3</x:v>
      </x:c>
      <x:c r="C236" t="n">
        <x:v>3</x:v>
      </x:c>
      <x:c r="D236" t="n">
        <x:v>134.63</x:v>
      </x:c>
      <x:c r="E236" t="n">
        <x:v>403.89</x:v>
      </x:c>
      <x:c r="F236" t="str">
        <x:f>IFERROR(VLOOKUP(A236,Product_Dim!$A$2:$D$481,4,FALSE),"Missing")</x:f>
        <x:v>Household</x:v>
      </x:c>
      <x:c r="G236" t="str">
        <x:f>IFERROR(INDEX(Product_Dim!$D$2:$D$481,MATCH(A236,Product_Dim!$A$2:$A$481,0)),"Missing")</x:f>
        <x:v>Household</x:v>
      </x:c>
      <x:c r="H236" t="n">
        <x:f>C236*D236</x:f>
        <x:v>403.89</x:v>
      </x:c>
      <x:c r="I236" t="n">
        <x:f>E236-H236</x:f>
        <x:v>0</x:v>
      </x:c>
    </x:row>
    <x:row r="237">
      <x:c r="A237" t="str">
        <x:v>P0167</x:v>
      </x:c>
      <x:c r="B237" t="n">
        <x:v>5</x:v>
      </x:c>
      <x:c r="C237" t="n">
        <x:v>5</x:v>
      </x:c>
      <x:c r="D237" t="n">
        <x:v>71.05</x:v>
      </x:c>
      <x:c r="E237" t="n">
        <x:v>355.25</x:v>
      </x:c>
      <x:c r="F237" t="str">
        <x:f>IFERROR(VLOOKUP(A237,Product_Dim!$A$2:$D$481,4,FALSE),"Missing")</x:f>
        <x:v>Electrical</x:v>
      </x:c>
      <x:c r="G237" t="str">
        <x:f>IFERROR(INDEX(Product_Dim!$D$2:$D$481,MATCH(A237,Product_Dim!$A$2:$A$481,0)),"Missing")</x:f>
        <x:v>Electrical</x:v>
      </x:c>
      <x:c r="H237" t="n">
        <x:f>C237*D237</x:f>
        <x:v>355.25</x:v>
      </x:c>
      <x:c r="I237" t="n">
        <x:f>E237-H237</x:f>
        <x:v>0</x:v>
      </x:c>
    </x:row>
    <x:row r="238">
      <x:c r="A238" t="str">
        <x:v>P0301</x:v>
      </x:c>
      <x:c r="B238" t="n">
        <x:v>10</x:v>
      </x:c>
      <x:c r="C238" t="n">
        <x:v>10</x:v>
      </x:c>
      <x:c r="D238" t="n">
        <x:v>57.64</x:v>
      </x:c>
      <x:c r="E238" t="n">
        <x:v>576.4</x:v>
      </x:c>
      <x:c r="F238" t="str">
        <x:f>IFERROR(VLOOKUP(A238,Product_Dim!$A$2:$D$481,4,FALSE),"Missing")</x:f>
        <x:v>Packaging</x:v>
      </x:c>
      <x:c r="G238" t="str">
        <x:f>IFERROR(INDEX(Product_Dim!$D$2:$D$481,MATCH(A238,Product_Dim!$A$2:$A$481,0)),"Missing")</x:f>
        <x:v>Packaging</x:v>
      </x:c>
      <x:c r="H238" t="n">
        <x:f>C238*D238</x:f>
        <x:v>576.4</x:v>
      </x:c>
      <x:c r="I238" t="n">
        <x:f>E238-H238</x:f>
        <x:v>0</x:v>
      </x:c>
    </x:row>
    <x:row r="239">
      <x:c r="A239" t="str">
        <x:v>P0173</x:v>
      </x:c>
      <x:c r="B239" t="n">
        <x:v>10</x:v>
      </x:c>
      <x:c r="C239" t="n">
        <x:v>10</x:v>
      </x:c>
      <x:c r="D239" t="n">
        <x:v>202.25</x:v>
      </x:c>
      <x:c r="E239" t="n">
        <x:v>2022.5</x:v>
      </x:c>
      <x:c r="F239" t="str">
        <x:f>IFERROR(VLOOKUP(A239,Product_Dim!$A$2:$D$481,4,FALSE),"Missing")</x:f>
        <x:v>Packaging</x:v>
      </x:c>
      <x:c r="G239" t="str">
        <x:f>IFERROR(INDEX(Product_Dim!$D$2:$D$481,MATCH(A239,Product_Dim!$A$2:$A$481,0)),"Missing")</x:f>
        <x:v>Packaging</x:v>
      </x:c>
      <x:c r="H239" t="n">
        <x:f>C239*D239</x:f>
        <x:v>2022.5</x:v>
      </x:c>
      <x:c r="I239" t="n">
        <x:f>E239-H239</x:f>
        <x:v>0</x:v>
      </x:c>
    </x:row>
    <x:row r="240">
      <x:c r="A240" t="str">
        <x:v>P0413</x:v>
      </x:c>
      <x:c r="B240" t="n">
        <x:v>15</x:v>
      </x:c>
      <x:c r="C240" t="n">
        <x:v>15</x:v>
      </x:c>
      <x:c r="D240" t="n">
        <x:v>166.78</x:v>
      </x:c>
      <x:c r="E240" t="n">
        <x:v>2501.7</x:v>
      </x:c>
      <x:c r="F240" t="str">
        <x:f>IFERROR(VLOOKUP(A240,Product_Dim!$A$2:$D$481,4,FALSE),"Missing")</x:f>
        <x:v>Packaging</x:v>
      </x:c>
      <x:c r="G240" t="str">
        <x:f>IFERROR(INDEX(Product_Dim!$D$2:$D$481,MATCH(A240,Product_Dim!$A$2:$A$481,0)),"Missing")</x:f>
        <x:v>Packaging</x:v>
      </x:c>
      <x:c r="H240" t="n">
        <x:f>C240*D240</x:f>
        <x:v>2501.7</x:v>
      </x:c>
      <x:c r="I240" t="n">
        <x:f>E240-H240</x:f>
        <x:v>0</x:v>
      </x:c>
    </x:row>
    <x:row r="241">
      <x:c r="A241" t="str">
        <x:v>P0237</x:v>
      </x:c>
      <x:c r="B241" t="n">
        <x:v>15</x:v>
      </x:c>
      <x:c r="C241" t="n">
        <x:v>15</x:v>
      </x:c>
      <x:c r="D241" t="n">
        <x:v>188.7</x:v>
      </x:c>
      <x:c r="E241" t="n">
        <x:v>2830.5</x:v>
      </x:c>
      <x:c r="F241" t="str">
        <x:f>IFERROR(VLOOKUP(A241,Product_Dim!$A$2:$D$481,4,FALSE),"Missing")</x:f>
        <x:v>Packaging</x:v>
      </x:c>
      <x:c r="G241" t="str">
        <x:f>IFERROR(INDEX(Product_Dim!$D$2:$D$481,MATCH(A241,Product_Dim!$A$2:$A$481,0)),"Missing")</x:f>
        <x:v>Packaging</x:v>
      </x:c>
      <x:c r="H241" t="n">
        <x:f>C241*D241</x:f>
        <x:v>2830.5</x:v>
      </x:c>
      <x:c r="I241" t="n">
        <x:f>E241-H241</x:f>
        <x:v>0</x:v>
      </x:c>
    </x:row>
    <x:row r="242">
      <x:c r="A242" t="str">
        <x:v>P0085</x:v>
      </x:c>
      <x:c r="B242" t="n">
        <x:v>3</x:v>
      </x:c>
      <x:c r="C242" t="n">
        <x:v>3</x:v>
      </x:c>
      <x:c r="D242" t="n">
        <x:v>194.5</x:v>
      </x:c>
      <x:c r="E242" t="n">
        <x:v>583.5</x:v>
      </x:c>
      <x:c r="F242" t="str">
        <x:f>IFERROR(VLOOKUP(A242,Product_Dim!$A$2:$D$481,4,FALSE),"Missing")</x:f>
        <x:v>Packaging</x:v>
      </x:c>
      <x:c r="G242" t="str">
        <x:f>IFERROR(INDEX(Product_Dim!$D$2:$D$481,MATCH(A242,Product_Dim!$A$2:$A$481,0)),"Missing")</x:f>
        <x:v>Packaging</x:v>
      </x:c>
      <x:c r="H242" t="n">
        <x:f>C242*D242</x:f>
        <x:v>583.5</x:v>
      </x:c>
      <x:c r="I242" t="n">
        <x:f>E242-H242</x:f>
        <x:v>0</x:v>
      </x:c>
    </x:row>
    <x:row r="243">
      <x:c r="A243" t="str">
        <x:v>P0001</x:v>
      </x:c>
      <x:c r="B243" t="n">
        <x:v>10</x:v>
      </x:c>
      <x:c r="C243" t="n">
        <x:v>0</x:v>
      </x:c>
      <x:c r="D243" t="n">
        <x:v>43.13</x:v>
      </x:c>
      <x:c r="E243" t="n">
        <x:v>0</x:v>
      </x:c>
      <x:c r="F243" t="str">
        <x:f>IFERROR(VLOOKUP(A243,Product_Dim!$A$2:$D$481,4,FALSE),"Missing")</x:f>
        <x:v>Beverages</x:v>
      </x:c>
      <x:c r="G243" t="str">
        <x:f>IFERROR(INDEX(Product_Dim!$D$2:$D$481,MATCH(A243,Product_Dim!$A$2:$A$481,0)),"Missing")</x:f>
        <x:v>Beverages</x:v>
      </x:c>
      <x:c r="H243" t="n">
        <x:f>C243*D243</x:f>
        <x:v>0</x:v>
      </x:c>
      <x:c r="I243" t="n">
        <x:f>E243-H243</x:f>
        <x:v>0</x:v>
      </x:c>
    </x:row>
    <x:row r="244">
      <x:c r="A244" t="str">
        <x:v>P0025</x:v>
      </x:c>
      <x:c r="B244" t="n">
        <x:v>15</x:v>
      </x:c>
      <x:c r="C244" t="n">
        <x:v>0</x:v>
      </x:c>
      <x:c r="D244" t="n">
        <x:v>83.57</x:v>
      </x:c>
      <x:c r="E244" t="n">
        <x:v>0</x:v>
      </x:c>
      <x:c r="F244" t="str">
        <x:f>IFERROR(VLOOKUP(A244,Product_Dim!$A$2:$D$481,4,FALSE),"Missing")</x:f>
        <x:v>Beverages</x:v>
      </x:c>
      <x:c r="G244" t="str">
        <x:f>IFERROR(INDEX(Product_Dim!$D$2:$D$481,MATCH(A244,Product_Dim!$A$2:$A$481,0)),"Missing")</x:f>
        <x:v>Beverages</x:v>
      </x:c>
      <x:c r="H244" t="n">
        <x:f>C244*D244</x:f>
        <x:v>0</x:v>
      </x:c>
      <x:c r="I244" t="n">
        <x:f>E244-H244</x:f>
        <x:v>0</x:v>
      </x:c>
    </x:row>
    <x:row r="245">
      <x:c r="A245" t="str">
        <x:v>P0185</x:v>
      </x:c>
      <x:c r="B245" t="n">
        <x:v>1</x:v>
      </x:c>
      <x:c r="C245" t="n">
        <x:v>0</x:v>
      </x:c>
      <x:c r="D245" t="n">
        <x:v>38.99</x:v>
      </x:c>
      <x:c r="E245" t="str">
        <x:v>0.0</x:v>
      </x:c>
      <x:c r="F245" t="str">
        <x:f>IFERROR(VLOOKUP(A245,Product_Dim!$A$2:$D$481,4,FALSE),"Missing")</x:f>
        <x:v>Beverages</x:v>
      </x:c>
      <x:c r="G245" t="str">
        <x:f>IFERROR(INDEX(Product_Dim!$D$2:$D$481,MATCH(A245,Product_Dim!$A$2:$A$481,0)),"Missing")</x:f>
        <x:v>Beverages</x:v>
      </x:c>
      <x:c r="H245" t="n">
        <x:f>C245*D245</x:f>
        <x:v>0</x:v>
      </x:c>
      <x:c r="I245" t="n">
        <x:f>E245-H245</x:f>
        <x:v>0</x:v>
      </x:c>
    </x:row>
    <x:row r="246">
      <x:c r="A246" t="str">
        <x:v>P0451</x:v>
      </x:c>
      <x:c r="B246" t="n">
        <x:v>15</x:v>
      </x:c>
      <x:c r="C246" t="n">
        <x:v>15</x:v>
      </x:c>
      <x:c r="D246" t="n">
        <x:v>169.05</x:v>
      </x:c>
      <x:c r="E246" t="n">
        <x:v>2535.75</x:v>
      </x:c>
      <x:c r="F246" t="str">
        <x:f>IFERROR(VLOOKUP(A246,Product_Dim!$A$2:$D$481,4,FALSE),"Missing")</x:f>
        <x:v>Household</x:v>
      </x:c>
      <x:c r="G246" t="str">
        <x:f>IFERROR(INDEX(Product_Dim!$D$2:$D$481,MATCH(A246,Product_Dim!$A$2:$A$481,0)),"Missing")</x:f>
        <x:v>Household</x:v>
      </x:c>
      <x:c r="H246" t="n">
        <x:f>C246*D246</x:f>
        <x:v>2535.75</x:v>
      </x:c>
      <x:c r="I246" t="n">
        <x:f>E246-H246</x:f>
        <x:v>0</x:v>
      </x:c>
    </x:row>
    <x:row r="247">
      <x:c r="A247" t="str">
        <x:v>P0080</x:v>
      </x:c>
      <x:c r="B247" t="n">
        <x:v>8</x:v>
      </x:c>
      <x:c r="C247" t="n">
        <x:v>8</x:v>
      </x:c>
      <x:c r="D247" t="n">
        <x:v>96.74</x:v>
      </x:c>
      <x:c r="E247" t="n">
        <x:v>773.92</x:v>
      </x:c>
      <x:c r="F247" t="str">
        <x:f>IFERROR(VLOOKUP(A247,Product_Dim!$A$2:$D$481,4,FALSE),"Missing")</x:f>
        <x:v>Cleaning</x:v>
      </x:c>
      <x:c r="G247" t="str">
        <x:f>IFERROR(INDEX(Product_Dim!$D$2:$D$481,MATCH(A247,Product_Dim!$A$2:$A$481,0)),"Missing")</x:f>
        <x:v>Cleaning</x:v>
      </x:c>
      <x:c r="H247" t="n">
        <x:f>C247*D247</x:f>
        <x:v>773.92</x:v>
      </x:c>
      <x:c r="I247" t="n">
        <x:f>E247-H247</x:f>
        <x:v>0</x:v>
      </x:c>
    </x:row>
    <x:row r="248">
      <x:c r="A248" t="str">
        <x:v>P0369</x:v>
      </x:c>
      <x:c r="B248" t="n">
        <x:v>10</x:v>
      </x:c>
      <x:c r="C248" t="n">
        <x:v>10</x:v>
      </x:c>
      <x:c r="D248" t="n">
        <x:v>157.96</x:v>
      </x:c>
      <x:c r="E248" t="n">
        <x:v>1579.6</x:v>
      </x:c>
      <x:c r="F248" t="str">
        <x:f>IFERROR(VLOOKUP(A248,Product_Dim!$A$2:$D$481,4,FALSE),"Missing")</x:f>
        <x:v>Beverages</x:v>
      </x:c>
      <x:c r="G248" t="str">
        <x:f>IFERROR(INDEX(Product_Dim!$D$2:$D$481,MATCH(A248,Product_Dim!$A$2:$A$481,0)),"Missing")</x:f>
        <x:v>Beverages</x:v>
      </x:c>
      <x:c r="H248" t="n">
        <x:f>C248*D248</x:f>
        <x:v>1579.6000000000001</x:v>
      </x:c>
      <x:c r="I248" t="n">
        <x:f>E248-H248</x:f>
        <x:v>-2.2737367544323206e-13</x:v>
      </x:c>
    </x:row>
    <x:row r="249">
      <x:c r="A249" t="str">
        <x:v>P0032</x:v>
      </x:c>
      <x:c r="B249" t="n">
        <x:v>60</x:v>
      </x:c>
      <x:c r="C249" t="n">
        <x:v>60</x:v>
      </x:c>
      <x:c r="D249" t="n">
        <x:v>10.46</x:v>
      </x:c>
      <x:c r="E249" t="n">
        <x:v>627.6</x:v>
      </x:c>
      <x:c r="F249" t="str">
        <x:f>IFERROR(VLOOKUP(A249,Product_Dim!$A$2:$D$481,4,FALSE),"Missing")</x:f>
        <x:v>Cleaning</x:v>
      </x:c>
      <x:c r="G249" t="str">
        <x:f>IFERROR(INDEX(Product_Dim!$D$2:$D$481,MATCH(A249,Product_Dim!$A$2:$A$481,0)),"Missing")</x:f>
        <x:v>Cleaning</x:v>
      </x:c>
      <x:c r="H249" t="n">
        <x:f>C249*D249</x:f>
        <x:v>627.6</x:v>
      </x:c>
      <x:c r="I249" t="n">
        <x:f>E249-H249</x:f>
        <x:v>0</x:v>
      </x:c>
    </x:row>
    <x:row r="250">
      <x:c r="A250" t="str">
        <x:v>P0037</x:v>
      </x:c>
      <x:c r="B250" t="n">
        <x:v>3</x:v>
      </x:c>
      <x:c r="C250" t="n">
        <x:v>3</x:v>
      </x:c>
      <x:c r="D250" t="n">
        <x:v>51.15</x:v>
      </x:c>
      <x:c r="E250" t="n">
        <x:v>153.45</x:v>
      </x:c>
      <x:c r="F250" t="str">
        <x:f>IFERROR(VLOOKUP(A250,Product_Dim!$A$2:$D$481,4,FALSE),"Missing")</x:f>
        <x:v>Packaging</x:v>
      </x:c>
      <x:c r="G250" t="str">
        <x:f>IFERROR(INDEX(Product_Dim!$D$2:$D$481,MATCH(A250,Product_Dim!$A$2:$A$481,0)),"Missing")</x:f>
        <x:v>Packaging</x:v>
      </x:c>
      <x:c r="H250" t="n">
        <x:f>C250*D250</x:f>
        <x:v>153.45</x:v>
      </x:c>
      <x:c r="I250" t="n">
        <x:f>E250-H250</x:f>
        <x:v>0</x:v>
      </x:c>
    </x:row>
    <x:row r="251">
      <x:c r="A251" t="str">
        <x:v>P0191</x:v>
      </x:c>
      <x:c r="B251" t="n">
        <x:v>10</x:v>
      </x:c>
      <x:c r="C251" t="n">
        <x:v>10</x:v>
      </x:c>
      <x:c r="D251" t="n">
        <x:v>132.05</x:v>
      </x:c>
      <x:c r="E251" t="n">
        <x:v>1320.5</x:v>
      </x:c>
      <x:c r="F251" t="str">
        <x:f>IFERROR(VLOOKUP(A251,Product_Dim!$A$2:$D$481,4,FALSE),"Missing")</x:f>
        <x:v>Electrical</x:v>
      </x:c>
      <x:c r="G251" t="str">
        <x:f>IFERROR(INDEX(Product_Dim!$D$2:$D$481,MATCH(A251,Product_Dim!$A$2:$A$481,0)),"Missing")</x:f>
        <x:v>Electrical</x:v>
      </x:c>
      <x:c r="H251" t="n">
        <x:f>C251*D251</x:f>
        <x:v>1320.5</x:v>
      </x:c>
      <x:c r="I251" t="n">
        <x:f>E251-H251</x:f>
        <x:v>0</x:v>
      </x:c>
    </x:row>
    <x:row r="252">
      <x:c r="A252" t="str">
        <x:v>P0454</x:v>
      </x:c>
      <x:c r="B252" t="n">
        <x:v>3</x:v>
      </x:c>
      <x:c r="C252" t="n">
        <x:v>3</x:v>
      </x:c>
      <x:c r="D252" t="n">
        <x:v>16.29</x:v>
      </x:c>
      <x:c r="E252" t="n">
        <x:v>48.87</x:v>
      </x:c>
      <x:c r="F252" t="str">
        <x:f>IFERROR(VLOOKUP(A252,Product_Dim!$A$2:$D$481,4,FALSE),"Missing")</x:f>
        <x:v>Hardware</x:v>
      </x:c>
      <x:c r="G252" t="str">
        <x:f>IFERROR(INDEX(Product_Dim!$D$2:$D$481,MATCH(A252,Product_Dim!$A$2:$A$481,0)),"Missing")</x:f>
        <x:v>Hardware</x:v>
      </x:c>
      <x:c r="H252" t="n">
        <x:f>C252*D252</x:f>
        <x:v>48.87</x:v>
      </x:c>
      <x:c r="I252" t="n">
        <x:f>E252-H252</x:f>
        <x:v>0</x:v>
      </x:c>
    </x:row>
    <x:row r="253">
      <x:c r="A253" t="str">
        <x:v>P0006</x:v>
      </x:c>
      <x:c r="B253" t="n">
        <x:v>10</x:v>
      </x:c>
      <x:c r="C253" t="n">
        <x:v>10</x:v>
      </x:c>
      <x:c r="D253" t="n">
        <x:v>64.13</x:v>
      </x:c>
      <x:c r="E253" t="n">
        <x:v>641.3</x:v>
      </x:c>
      <x:c r="F253" t="str">
        <x:f>IFERROR(VLOOKUP(A253,Product_Dim!$A$2:$D$481,4,FALSE),"Missing")</x:f>
        <x:v>Hardware</x:v>
      </x:c>
      <x:c r="G253" t="str">
        <x:f>IFERROR(INDEX(Product_Dim!$D$2:$D$481,MATCH(A253,Product_Dim!$A$2:$A$481,0)),"Missing")</x:f>
        <x:v>Hardware</x:v>
      </x:c>
      <x:c r="H253" t="n">
        <x:f>C253*D253</x:f>
        <x:v>641.3</x:v>
      </x:c>
      <x:c r="I253" t="n">
        <x:f>E253-H253</x:f>
        <x:v>0</x:v>
      </x:c>
    </x:row>
    <x:row r="254">
      <x:c r="A254" t="str">
        <x:v>P0010</x:v>
      </x:c>
      <x:c r="B254" t="n">
        <x:v>5</x:v>
      </x:c>
      <x:c r="C254" t="n">
        <x:v>5</x:v>
      </x:c>
      <x:c r="D254" t="n">
        <x:v>158.21</x:v>
      </x:c>
      <x:c r="E254" t="n">
        <x:v>791.05</x:v>
      </x:c>
      <x:c r="F254" t="str">
        <x:f>IFERROR(VLOOKUP(A254,Product_Dim!$A$2:$D$481,4,FALSE),"Missing")</x:f>
        <x:v>Dry Grocery</x:v>
      </x:c>
      <x:c r="G254" t="str">
        <x:f>IFERROR(INDEX(Product_Dim!$D$2:$D$481,MATCH(A254,Product_Dim!$A$2:$A$481,0)),"Missing")</x:f>
        <x:v>Dry Grocery</x:v>
      </x:c>
      <x:c r="H254" t="n">
        <x:f>C254*D254</x:f>
        <x:v>791.0500000000001</x:v>
      </x:c>
      <x:c r="I254" t="n">
        <x:f>E254-H254</x:f>
        <x:v>-1.1368683772161603e-13</x:v>
      </x:c>
    </x:row>
    <x:row r="255">
      <x:c r="A255" t="str">
        <x:v>P0001</x:v>
      </x:c>
      <x:c r="B255" t="n">
        <x:v>8</x:v>
      </x:c>
      <x:c r="C255" t="n">
        <x:v>8</x:v>
      </x:c>
      <x:c r="D255" t="n">
        <x:v>43.13</x:v>
      </x:c>
      <x:c r="E255" t="n">
        <x:v>345.04</x:v>
      </x:c>
      <x:c r="F255" t="str">
        <x:f>IFERROR(VLOOKUP(A255,Product_Dim!$A$2:$D$481,4,FALSE),"Missing")</x:f>
        <x:v>Beverages</x:v>
      </x:c>
      <x:c r="G255" t="str">
        <x:f>IFERROR(INDEX(Product_Dim!$D$2:$D$481,MATCH(A255,Product_Dim!$A$2:$A$481,0)),"Missing")</x:f>
        <x:v>Beverages</x:v>
      </x:c>
      <x:c r="H255" t="n">
        <x:f>C255*D255</x:f>
        <x:v>345.04</x:v>
      </x:c>
      <x:c r="I255" t="n">
        <x:f>E255-H255</x:f>
        <x:v>0</x:v>
      </x:c>
    </x:row>
    <x:row r="256">
      <x:c r="A256" t="str">
        <x:v>P0233</x:v>
      </x:c>
      <x:c r="B256" t="n">
        <x:v>3</x:v>
      </x:c>
      <x:c r="C256" t="n">
        <x:v>3</x:v>
      </x:c>
      <x:c r="D256" t="n">
        <x:v>133.82</x:v>
      </x:c>
      <x:c r="E256" t="n">
        <x:v>401.46</x:v>
      </x:c>
      <x:c r="F256" t="str">
        <x:f>IFERROR(VLOOKUP(A256,Product_Dim!$A$2:$D$481,4,FALSE),"Missing")</x:f>
        <x:v>Beverages</x:v>
      </x:c>
      <x:c r="G256" t="str">
        <x:f>IFERROR(INDEX(Product_Dim!$D$2:$D$481,MATCH(A256,Product_Dim!$A$2:$A$481,0)),"Missing")</x:f>
        <x:v>Beverages</x:v>
      </x:c>
      <x:c r="H256" t="n">
        <x:f>C256*D256</x:f>
        <x:v>401.46</x:v>
      </x:c>
      <x:c r="I256" t="n">
        <x:f>E256-H256</x:f>
        <x:v>0</x:v>
      </x:c>
    </x:row>
    <x:row r="257">
      <x:c r="A257" t="str">
        <x:v>P0313</x:v>
      </x:c>
      <x:c r="B257" t="n">
        <x:v>10</x:v>
      </x:c>
      <x:c r="C257" t="n">
        <x:v>10</x:v>
      </x:c>
      <x:c r="D257" t="n">
        <x:v>14.82</x:v>
      </x:c>
      <x:c r="E257" t="n">
        <x:v>148.2</x:v>
      </x:c>
      <x:c r="F257" t="str">
        <x:f>IFERROR(VLOOKUP(A257,Product_Dim!$A$2:$D$481,4,FALSE),"Missing")</x:f>
        <x:v>Beverages</x:v>
      </x:c>
      <x:c r="G257" t="str">
        <x:f>IFERROR(INDEX(Product_Dim!$D$2:$D$481,MATCH(A257,Product_Dim!$A$2:$A$481,0)),"Missing")</x:f>
        <x:v>Beverages</x:v>
      </x:c>
      <x:c r="H257" t="n">
        <x:f>C257*D257</x:f>
        <x:v>148.2</x:v>
      </x:c>
      <x:c r="I257" t="n">
        <x:f>E257-H257</x:f>
        <x:v>0</x:v>
      </x:c>
    </x:row>
    <x:row r="258">
      <x:c r="A258" t="str">
        <x:v>P0060</x:v>
      </x:c>
      <x:c r="B258" t="n">
        <x:v>40</x:v>
      </x:c>
      <x:c r="C258" t="n">
        <x:v>40</x:v>
      </x:c>
      <x:c r="D258" t="n">
        <x:v>176.71</x:v>
      </x:c>
      <x:c r="E258" t="n">
        <x:v>7068.4</x:v>
      </x:c>
      <x:c r="F258" t="str">
        <x:f>IFERROR(VLOOKUP(A258,Product_Dim!$A$2:$D$481,4,FALSE),"Missing")</x:f>
        <x:v>Personal Care</x:v>
      </x:c>
      <x:c r="G258" t="str">
        <x:f>IFERROR(INDEX(Product_Dim!$D$2:$D$481,MATCH(A258,Product_Dim!$A$2:$A$481,0)),"Missing")</x:f>
        <x:v>Personal Care</x:v>
      </x:c>
      <x:c r="H258" t="n">
        <x:f>C258*D258</x:f>
        <x:v>7068.400000000001</x:v>
      </x:c>
      <x:c r="I258" t="n">
        <x:f>E258-H258</x:f>
        <x:v>-9.094947017729282e-13</x:v>
      </x:c>
    </x:row>
    <x:row r="259">
      <x:c r="A259" t="str">
        <x:v>P0412</x:v>
      </x:c>
      <x:c r="B259" t="n">
        <x:v>40</x:v>
      </x:c>
      <x:c r="C259" t="n">
        <x:v>40</x:v>
      </x:c>
      <x:c r="D259" t="n">
        <x:v>87.37</x:v>
      </x:c>
      <x:c r="E259" t="n">
        <x:v>3494.8</x:v>
      </x:c>
      <x:c r="F259" t="str">
        <x:f>IFERROR(VLOOKUP(A259,Product_Dim!$A$2:$D$481,4,FALSE),"Missing")</x:f>
        <x:v>Personal Care</x:v>
      </x:c>
      <x:c r="G259" t="str">
        <x:f>IFERROR(INDEX(Product_Dim!$D$2:$D$481,MATCH(A259,Product_Dim!$A$2:$A$481,0)),"Missing")</x:f>
        <x:v>Personal Care</x:v>
      </x:c>
      <x:c r="H259" t="n">
        <x:f>C259*D259</x:f>
        <x:v>3494.8</x:v>
      </x:c>
      <x:c r="I259" t="n">
        <x:f>E259-H259</x:f>
        <x:v>0</x:v>
      </x:c>
    </x:row>
    <x:row r="260">
      <x:c r="A260" t="str">
        <x:v>P0202</x:v>
      </x:c>
      <x:c r="B260" t="n">
        <x:v>30</x:v>
      </x:c>
      <x:c r="C260" t="n">
        <x:v>30</x:v>
      </x:c>
      <x:c r="D260" t="n">
        <x:v>26.41</x:v>
      </x:c>
      <x:c r="E260" t="n">
        <x:v>792.3</x:v>
      </x:c>
      <x:c r="F260" t="str">
        <x:f>IFERROR(VLOOKUP(A260,Product_Dim!$A$2:$D$481,4,FALSE),"Missing")</x:f>
        <x:v>Dry Grocery</x:v>
      </x:c>
      <x:c r="G260" t="str">
        <x:f>IFERROR(INDEX(Product_Dim!$D$2:$D$481,MATCH(A260,Product_Dim!$A$2:$A$481,0)),"Missing")</x:f>
        <x:v>Dry Grocery</x:v>
      </x:c>
      <x:c r="H260" t="n">
        <x:f>C260*D260</x:f>
        <x:v>792.3</x:v>
      </x:c>
      <x:c r="I260" t="n">
        <x:f>E260-H260</x:f>
        <x:v>0</x:v>
      </x:c>
    </x:row>
    <x:row r="261">
      <x:c r="A261" t="str">
        <x:v>P0143</x:v>
      </x:c>
      <x:c r="B261" t="n">
        <x:v>15</x:v>
      </x:c>
      <x:c r="C261" t="n">
        <x:v>15</x:v>
      </x:c>
      <x:c r="D261" t="n">
        <x:v>51.95</x:v>
      </x:c>
      <x:c r="E261" t="n">
        <x:v>779.25</x:v>
      </x:c>
      <x:c r="F261" t="str">
        <x:f>IFERROR(VLOOKUP(A261,Product_Dim!$A$2:$D$481,4,FALSE),"Missing")</x:f>
        <x:v>Electrical</x:v>
      </x:c>
      <x:c r="G261" t="str">
        <x:f>IFERROR(INDEX(Product_Dim!$D$2:$D$481,MATCH(A261,Product_Dim!$A$2:$A$481,0)),"Missing")</x:f>
        <x:v>Electrical</x:v>
      </x:c>
      <x:c r="H261" t="n">
        <x:f>C261*D261</x:f>
        <x:v>779.25</x:v>
      </x:c>
      <x:c r="I261" t="n">
        <x:f>E261-H261</x:f>
        <x:v>0</x:v>
      </x:c>
    </x:row>
    <x:row r="262">
      <x:c r="A262" t="str">
        <x:v>P0204</x:v>
      </x:c>
      <x:c r="B262" t="n">
        <x:v>3</x:v>
      </x:c>
      <x:c r="C262" t="n">
        <x:v>3</x:v>
      </x:c>
      <x:c r="D262" t="n">
        <x:v>68.36</x:v>
      </x:c>
      <x:c r="E262" t="n">
        <x:v>205.08</x:v>
      </x:c>
      <x:c r="F262" t="str">
        <x:f>IFERROR(VLOOKUP(A262,Product_Dim!$A$2:$D$481,4,FALSE),"Missing")</x:f>
        <x:v>Personal Care</x:v>
      </x:c>
      <x:c r="G262" t="str">
        <x:f>IFERROR(INDEX(Product_Dim!$D$2:$D$481,MATCH(A262,Product_Dim!$A$2:$A$481,0)),"Missing")</x:f>
        <x:v>Personal Care</x:v>
      </x:c>
      <x:c r="H262" t="n">
        <x:f>C262*D262</x:f>
        <x:v>205.07999999999998</x:v>
      </x:c>
      <x:c r="I262" t="n">
        <x:f>E262-H262</x:f>
        <x:v>2.842170943040401e-14</x:v>
      </x:c>
    </x:row>
    <x:row r="263">
      <x:c r="A263" t="str">
        <x:v>P0001</x:v>
      </x:c>
      <x:c r="B263" t="n">
        <x:v>20</x:v>
      </x:c>
      <x:c r="C263" t="n">
        <x:v>20</x:v>
      </x:c>
      <x:c r="D263" t="n">
        <x:v>43.13</x:v>
      </x:c>
      <x:c r="E263" t="n">
        <x:v>862.6</x:v>
      </x:c>
      <x:c r="F263" t="str">
        <x:f>IFERROR(VLOOKUP(A263,Product_Dim!$A$2:$D$481,4,FALSE),"Missing")</x:f>
        <x:v>Beverages</x:v>
      </x:c>
      <x:c r="G263" t="str">
        <x:f>IFERROR(INDEX(Product_Dim!$D$2:$D$481,MATCH(A263,Product_Dim!$A$2:$A$481,0)),"Missing")</x:f>
        <x:v>Beverages</x:v>
      </x:c>
      <x:c r="H263" t="n">
        <x:f>C263*D263</x:f>
        <x:v>862.6</x:v>
      </x:c>
      <x:c r="I263" t="n">
        <x:f>E263-H263</x:f>
        <x:v>0</x:v>
      </x:c>
    </x:row>
    <x:row r="264">
      <x:c r="A264" t="str">
        <x:v>P0275</x:v>
      </x:c>
      <x:c r="B264" t="n">
        <x:v>3</x:v>
      </x:c>
      <x:c r="C264" t="n">
        <x:v>3</x:v>
      </x:c>
      <x:c r="D264" t="n">
        <x:v>51.93</x:v>
      </x:c>
      <x:c r="E264" t="n">
        <x:v>155.79</x:v>
      </x:c>
      <x:c r="F264" t="str">
        <x:f>IFERROR(VLOOKUP(A264,Product_Dim!$A$2:$D$481,4,FALSE),"Missing")</x:f>
        <x:v>Household</x:v>
      </x:c>
      <x:c r="G264" t="str">
        <x:f>IFERROR(INDEX(Product_Dim!$D$2:$D$481,MATCH(A264,Product_Dim!$A$2:$A$481,0)),"Missing")</x:f>
        <x:v>Household</x:v>
      </x:c>
      <x:c r="H264" t="n">
        <x:f>C264*D264</x:f>
        <x:v>155.79</x:v>
      </x:c>
      <x:c r="I264" t="n">
        <x:f>E264-H264</x:f>
        <x:v>0</x:v>
      </x:c>
    </x:row>
    <x:row r="265">
      <x:c r="A265" t="str">
        <x:v>P0177</x:v>
      </x:c>
      <x:c r="B265" t="n">
        <x:v>8</x:v>
      </x:c>
      <x:c r="C265" t="n">
        <x:v>8</x:v>
      </x:c>
      <x:c r="D265" t="n">
        <x:v>177.27</x:v>
      </x:c>
      <x:c r="E265" t="n">
        <x:v>1418.16</x:v>
      </x:c>
      <x:c r="F265" t="str">
        <x:f>IFERROR(VLOOKUP(A265,Product_Dim!$A$2:$D$481,4,FALSE),"Missing")</x:f>
        <x:v>Beverages</x:v>
      </x:c>
      <x:c r="G265" t="str">
        <x:f>IFERROR(INDEX(Product_Dim!$D$2:$D$481,MATCH(A265,Product_Dim!$A$2:$A$481,0)),"Missing")</x:f>
        <x:v>Beverages</x:v>
      </x:c>
      <x:c r="H265" t="n">
        <x:f>C265*D265</x:f>
        <x:v>1418.16</x:v>
      </x:c>
      <x:c r="I265" t="n">
        <x:f>E265-H265</x:f>
        <x:v>0</x:v>
      </x:c>
    </x:row>
    <x:row r="266">
      <x:c r="A266" t="str">
        <x:v>P0110</x:v>
      </x:c>
      <x:c r="B266" t="n">
        <x:v>8</x:v>
      </x:c>
      <x:c r="C266" t="n">
        <x:v>8</x:v>
      </x:c>
      <x:c r="D266" t="n">
        <x:v>16.06</x:v>
      </x:c>
      <x:c r="E266" t="n">
        <x:v>128.48</x:v>
      </x:c>
      <x:c r="F266" t="str">
        <x:f>IFERROR(VLOOKUP(A266,Product_Dim!$A$2:$D$481,4,FALSE),"Missing")</x:f>
        <x:v>Hardware</x:v>
      </x:c>
      <x:c r="G266" t="str">
        <x:f>IFERROR(INDEX(Product_Dim!$D$2:$D$481,MATCH(A266,Product_Dim!$A$2:$A$481,0)),"Missing")</x:f>
        <x:v>Hardware</x:v>
      </x:c>
      <x:c r="H266" t="n">
        <x:f>C266*D266</x:f>
        <x:v>128.48</x:v>
      </x:c>
      <x:c r="I266" t="n">
        <x:f>E266-H266</x:f>
        <x:v>0</x:v>
      </x:c>
    </x:row>
    <x:row r="267">
      <x:c r="A267" t="str">
        <x:v>P0002</x:v>
      </x:c>
      <x:c r="B267" t="n">
        <x:v>20</x:v>
      </x:c>
      <x:c r="C267" t="n">
        <x:v>20</x:v>
      </x:c>
      <x:c r="D267" t="n">
        <x:v>136.31</x:v>
      </x:c>
      <x:c r="E267" t="n">
        <x:v>2726.2</x:v>
      </x:c>
      <x:c r="F267" t="str">
        <x:f>IFERROR(VLOOKUP(A267,Product_Dim!$A$2:$D$481,4,FALSE),"Missing")</x:f>
        <x:v>Dry Grocery</x:v>
      </x:c>
      <x:c r="G267" t="str">
        <x:f>IFERROR(INDEX(Product_Dim!$D$2:$D$481,MATCH(A267,Product_Dim!$A$2:$A$481,0)),"Missing")</x:f>
        <x:v>Dry Grocery</x:v>
      </x:c>
      <x:c r="H267" t="n">
        <x:f>C267*D267</x:f>
        <x:v>2726.2</x:v>
      </x:c>
      <x:c r="I267" t="n">
        <x:f>E267-H267</x:f>
        <x:v>0</x:v>
      </x:c>
    </x:row>
    <x:row r="268">
      <x:c r="A268" t="str">
        <x:v>P0016</x:v>
      </x:c>
      <x:c r="B268" t="n">
        <x:v>40</x:v>
      </x:c>
      <x:c r="C268" t="n">
        <x:v>40</x:v>
      </x:c>
      <x:c r="D268" t="n">
        <x:v>107.92</x:v>
      </x:c>
      <x:c r="E268" t="n">
        <x:v>4316.8</x:v>
      </x:c>
      <x:c r="F268" t="str">
        <x:f>IFERROR(VLOOKUP(A268,Product_Dim!$A$2:$D$481,4,FALSE),"Missing")</x:f>
        <x:v>Cleaning</x:v>
      </x:c>
      <x:c r="G268" t="str">
        <x:f>IFERROR(INDEX(Product_Dim!$D$2:$D$481,MATCH(A268,Product_Dim!$A$2:$A$481,0)),"Missing")</x:f>
        <x:v>Cleaning</x:v>
      </x:c>
      <x:c r="H268" t="n">
        <x:f>C268*D268</x:f>
        <x:v>4316.8</x:v>
      </x:c>
      <x:c r="I268" t="n">
        <x:f>E268-H268</x:f>
        <x:v>0</x:v>
      </x:c>
    </x:row>
    <x:row r="269">
      <x:c r="A269" t="str">
        <x:v>P0013</x:v>
      </x:c>
      <x:c r="B269" t="n">
        <x:v>10</x:v>
      </x:c>
      <x:c r="C269" t="n">
        <x:v>10</x:v>
      </x:c>
      <x:c r="D269" t="n">
        <x:v>47.84</x:v>
      </x:c>
      <x:c r="E269" t="n">
        <x:v>478.4</x:v>
      </x:c>
      <x:c r="F269" t="str">
        <x:f>IFERROR(VLOOKUP(A269,Product_Dim!$A$2:$D$481,4,FALSE),"Missing")</x:f>
        <x:v>Packaging</x:v>
      </x:c>
      <x:c r="G269" t="str">
        <x:f>IFERROR(INDEX(Product_Dim!$D$2:$D$481,MATCH(A269,Product_Dim!$A$2:$A$481,0)),"Missing")</x:f>
        <x:v>Packaging</x:v>
      </x:c>
      <x:c r="H269" t="n">
        <x:f>C269*D269</x:f>
        <x:v>478.40000000000003</x:v>
      </x:c>
      <x:c r="I269" t="n">
        <x:f>E269-H269</x:f>
        <x:v>-5.684341886080802e-14</x:v>
      </x:c>
    </x:row>
    <x:row r="270">
      <x:c r="A270" t="str">
        <x:v>P0063</x:v>
      </x:c>
      <x:c r="B270" t="n">
        <x:v>8</x:v>
      </x:c>
      <x:c r="C270" t="n">
        <x:v>8</x:v>
      </x:c>
      <x:c r="D270" t="n">
        <x:v>44.95</x:v>
      </x:c>
      <x:c r="E270" t="n">
        <x:v>359.6</x:v>
      </x:c>
      <x:c r="F270" t="str">
        <x:f>IFERROR(VLOOKUP(A270,Product_Dim!$A$2:$D$481,4,FALSE),"Missing")</x:f>
        <x:v>Electrical</x:v>
      </x:c>
      <x:c r="G270" t="str">
        <x:f>IFERROR(INDEX(Product_Dim!$D$2:$D$481,MATCH(A270,Product_Dim!$A$2:$A$481,0)),"Missing")</x:f>
        <x:v>Electrical</x:v>
      </x:c>
      <x:c r="H270" t="n">
        <x:f>C270*D270</x:f>
        <x:v>359.6</x:v>
      </x:c>
      <x:c r="I270" t="n">
        <x:f>E270-H270</x:f>
        <x:v>0</x:v>
      </x:c>
    </x:row>
    <x:row r="271">
      <x:c r="A271" t="str">
        <x:v>P0064</x:v>
      </x:c>
      <x:c r="B271" t="n">
        <x:v>10</x:v>
      </x:c>
      <x:c r="C271" t="n">
        <x:v>10</x:v>
      </x:c>
      <x:c r="D271" t="n">
        <x:v>57.46</x:v>
      </x:c>
      <x:c r="E271" t="n">
        <x:v>574.6</x:v>
      </x:c>
      <x:c r="F271" t="str">
        <x:f>IFERROR(VLOOKUP(A271,Product_Dim!$A$2:$D$481,4,FALSE),"Missing")</x:f>
        <x:v>Cleaning</x:v>
      </x:c>
      <x:c r="G271" t="str">
        <x:f>IFERROR(INDEX(Product_Dim!$D$2:$D$481,MATCH(A271,Product_Dim!$A$2:$A$481,0)),"Missing")</x:f>
        <x:v>Cleaning</x:v>
      </x:c>
      <x:c r="H271" t="n">
        <x:f>C271*D271</x:f>
        <x:v>574.6</x:v>
      </x:c>
      <x:c r="I271" t="n">
        <x:f>E271-H271</x:f>
        <x:v>0</x:v>
      </x:c>
    </x:row>
    <x:row r="272">
      <x:c r="A272" t="str">
        <x:v>P0006</x:v>
      </x:c>
      <x:c r="B272" t="n">
        <x:v>10</x:v>
      </x:c>
      <x:c r="C272" t="n">
        <x:v>10</x:v>
      </x:c>
      <x:c r="D272" t="n">
        <x:v>64.13</x:v>
      </x:c>
      <x:c r="E272" t="n">
        <x:v>641.3</x:v>
      </x:c>
      <x:c r="F272" t="str">
        <x:f>IFERROR(VLOOKUP(A272,Product_Dim!$A$2:$D$481,4,FALSE),"Missing")</x:f>
        <x:v>Hardware</x:v>
      </x:c>
      <x:c r="G272" t="str">
        <x:f>IFERROR(INDEX(Product_Dim!$D$2:$D$481,MATCH(A272,Product_Dim!$A$2:$A$481,0)),"Missing")</x:f>
        <x:v>Hardware</x:v>
      </x:c>
      <x:c r="H272" t="n">
        <x:f>C272*D272</x:f>
        <x:v>641.3</x:v>
      </x:c>
      <x:c r="I272" t="n">
        <x:f>E272-H272</x:f>
        <x:v>0</x:v>
      </x:c>
    </x:row>
    <x:row r="273">
      <x:c r="A273" t="str">
        <x:v>P0265</x:v>
      </x:c>
      <x:c r="B273" t="n">
        <x:v>3</x:v>
      </x:c>
      <x:c r="C273" t="n">
        <x:v>0</x:v>
      </x:c>
      <x:c r="D273" t="n">
        <x:v>116.75</x:v>
      </x:c>
      <x:c r="E273" t="str">
        <x:v>0.0</x:v>
      </x:c>
      <x:c r="F273" t="str">
        <x:f>IFERROR(VLOOKUP(A273,Product_Dim!$A$2:$D$481,4,FALSE),"Missing")</x:f>
        <x:v>Beverages</x:v>
      </x:c>
      <x:c r="G273" t="str">
        <x:f>IFERROR(INDEX(Product_Dim!$D$2:$D$481,MATCH(A273,Product_Dim!$A$2:$A$481,0)),"Missing")</x:f>
        <x:v>Beverages</x:v>
      </x:c>
      <x:c r="H273" t="n">
        <x:f>C273*D273</x:f>
        <x:v>0</x:v>
      </x:c>
      <x:c r="I273" t="n">
        <x:f>E273-H273</x:f>
        <x:v>0</x:v>
      </x:c>
    </x:row>
    <x:row r="274">
      <x:c r="A274" t="str">
        <x:v>P0397</x:v>
      </x:c>
      <x:c r="B274" t="n">
        <x:v>10</x:v>
      </x:c>
      <x:c r="C274" t="n">
        <x:v>10</x:v>
      </x:c>
      <x:c r="D274" t="n">
        <x:v>197.43</x:v>
      </x:c>
      <x:c r="E274" t="n">
        <x:v>1974.3</x:v>
      </x:c>
      <x:c r="F274" t="str">
        <x:f>IFERROR(VLOOKUP(A274,Product_Dim!$A$2:$D$481,4,FALSE),"Missing")</x:f>
        <x:v>Packaging</x:v>
      </x:c>
      <x:c r="G274" t="str">
        <x:f>IFERROR(INDEX(Product_Dim!$D$2:$D$481,MATCH(A274,Product_Dim!$A$2:$A$481,0)),"Missing")</x:f>
        <x:v>Packaging</x:v>
      </x:c>
      <x:c r="H274" t="n">
        <x:f>C274*D274</x:f>
        <x:v>1974.3000000000002</x:v>
      </x:c>
      <x:c r="I274" t="n">
        <x:f>E274-H274</x:f>
        <x:v>-2.2737367544323206e-13</x:v>
      </x:c>
    </x:row>
    <x:row r="275">
      <x:c r="A275" t="str">
        <x:v>P0229</x:v>
      </x:c>
      <x:c r="B275" t="n">
        <x:v>10</x:v>
      </x:c>
      <x:c r="C275" t="n">
        <x:v>10</x:v>
      </x:c>
      <x:c r="D275" t="n">
        <x:v>145.29</x:v>
      </x:c>
      <x:c r="E275" t="n">
        <x:v>1452.9</x:v>
      </x:c>
      <x:c r="F275" t="str">
        <x:f>IFERROR(VLOOKUP(A275,Product_Dim!$A$2:$D$481,4,FALSE),"Missing")</x:f>
        <x:v>Packaging</x:v>
      </x:c>
      <x:c r="G275" t="str">
        <x:f>IFERROR(INDEX(Product_Dim!$D$2:$D$481,MATCH(A275,Product_Dim!$A$2:$A$481,0)),"Missing")</x:f>
        <x:v>Packaging</x:v>
      </x:c>
      <x:c r="H275" t="n">
        <x:f>C275*D275</x:f>
        <x:v>1452.8999999999999</x:v>
      </x:c>
      <x:c r="I275" t="n">
        <x:f>E275-H275</x:f>
        <x:v>2.2737367544323206e-13</x:v>
      </x:c>
    </x:row>
    <x:row r="276">
      <x:c r="A276" t="str">
        <x:v>P0004</x:v>
      </x:c>
      <x:c r="B276" t="n">
        <x:v>17</x:v>
      </x:c>
      <x:c r="C276" t="n">
        <x:v>17</x:v>
      </x:c>
      <x:c r="D276" t="n">
        <x:v>57.91</x:v>
      </x:c>
      <x:c r="E276" t="n">
        <x:v>984.47</x:v>
      </x:c>
      <x:c r="F276" t="str">
        <x:f>IFERROR(VLOOKUP(A276,Product_Dim!$A$2:$D$481,4,FALSE),"Missing")</x:f>
        <x:v>Personal Care</x:v>
      </x:c>
      <x:c r="G276" t="str">
        <x:f>IFERROR(INDEX(Product_Dim!$D$2:$D$481,MATCH(A276,Product_Dim!$A$2:$A$481,0)),"Missing")</x:f>
        <x:v>Personal Care</x:v>
      </x:c>
      <x:c r="H276" t="n">
        <x:f>C276*D276</x:f>
        <x:v>984.4699999999999</x:v>
      </x:c>
      <x:c r="I276" t="n">
        <x:f>E276-H276</x:f>
        <x:v>1.1368683772161603e-13</x:v>
      </x:c>
    </x:row>
    <x:row r="277">
      <x:c r="A277" t="str">
        <x:v>P0037</x:v>
      </x:c>
      <x:c r="B277" t="n">
        <x:v>15</x:v>
      </x:c>
      <x:c r="C277" t="n">
        <x:v>15</x:v>
      </x:c>
      <x:c r="D277" t="n">
        <x:v>51.15</x:v>
      </x:c>
      <x:c r="E277" t="n">
        <x:v>767.25</x:v>
      </x:c>
      <x:c r="F277" t="str">
        <x:f>IFERROR(VLOOKUP(A277,Product_Dim!$A$2:$D$481,4,FALSE),"Missing")</x:f>
        <x:v>Packaging</x:v>
      </x:c>
      <x:c r="G277" t="str">
        <x:f>IFERROR(INDEX(Product_Dim!$D$2:$D$481,MATCH(A277,Product_Dim!$A$2:$A$481,0)),"Missing")</x:f>
        <x:v>Packaging</x:v>
      </x:c>
      <x:c r="H277" t="n">
        <x:f>C277*D277</x:f>
        <x:v>767.25</x:v>
      </x:c>
      <x:c r="I277" t="n">
        <x:f>E277-H277</x:f>
        <x:v>0</x:v>
      </x:c>
    </x:row>
    <x:row r="278">
      <x:c r="A278" t="str">
        <x:v>P0061</x:v>
      </x:c>
      <x:c r="B278" t="n">
        <x:v>30</x:v>
      </x:c>
      <x:c r="C278" t="n">
        <x:v>30</x:v>
      </x:c>
      <x:c r="D278" t="n">
        <x:v>75.42</x:v>
      </x:c>
      <x:c r="E278" t="n">
        <x:v>2262.6</x:v>
      </x:c>
      <x:c r="F278" t="str">
        <x:f>IFERROR(VLOOKUP(A278,Product_Dim!$A$2:$D$481,4,FALSE),"Missing")</x:f>
        <x:v>Packaging</x:v>
      </x:c>
      <x:c r="G278" t="str">
        <x:f>IFERROR(INDEX(Product_Dim!$D$2:$D$481,MATCH(A278,Product_Dim!$A$2:$A$481,0)),"Missing")</x:f>
        <x:v>Packaging</x:v>
      </x:c>
      <x:c r="H278" t="n">
        <x:f>C278*D278</x:f>
        <x:v>2262.6</x:v>
      </x:c>
      <x:c r="I278" t="n">
        <x:f>E278-H278</x:f>
        <x:v>0</x:v>
      </x:c>
    </x:row>
    <x:row r="279">
      <x:c r="A279" t="str">
        <x:v>P0135</x:v>
      </x:c>
      <x:c r="B279" t="n">
        <x:v>15</x:v>
      </x:c>
      <x:c r="C279" t="n">
        <x:v>15</x:v>
      </x:c>
      <x:c r="D279" t="n">
        <x:v>194.73</x:v>
      </x:c>
      <x:c r="E279" t="n">
        <x:v>2920.95</x:v>
      </x:c>
      <x:c r="F279" t="str">
        <x:f>IFERROR(VLOOKUP(A279,Product_Dim!$A$2:$D$481,4,FALSE),"Missing")</x:f>
        <x:v>Electrical</x:v>
      </x:c>
      <x:c r="G279" t="str">
        <x:f>IFERROR(INDEX(Product_Dim!$D$2:$D$481,MATCH(A279,Product_Dim!$A$2:$A$481,0)),"Missing")</x:f>
        <x:v>Electrical</x:v>
      </x:c>
      <x:c r="H279" t="n">
        <x:f>C279*D279</x:f>
        <x:v>2920.95</x:v>
      </x:c>
      <x:c r="I279" t="n">
        <x:f>E279-H279</x:f>
        <x:v>0</x:v>
      </x:c>
    </x:row>
    <x:row r="280">
      <x:c r="A280" t="str">
        <x:v>P0095</x:v>
      </x:c>
      <x:c r="B280" t="n">
        <x:v>10</x:v>
      </x:c>
      <x:c r="C280" t="n">
        <x:v>10</x:v>
      </x:c>
      <x:c r="D280" t="n">
        <x:v>21.78</x:v>
      </x:c>
      <x:c r="E280" t="n">
        <x:v>217.8</x:v>
      </x:c>
      <x:c r="F280" t="str">
        <x:f>IFERROR(VLOOKUP(A280,Product_Dim!$A$2:$D$481,4,FALSE),"Missing")</x:f>
        <x:v>Electrical</x:v>
      </x:c>
      <x:c r="G280" t="str">
        <x:f>IFERROR(INDEX(Product_Dim!$D$2:$D$481,MATCH(A280,Product_Dim!$A$2:$A$481,0)),"Missing")</x:f>
        <x:v>Electrical</x:v>
      </x:c>
      <x:c r="H280" t="n">
        <x:f>C280*D280</x:f>
        <x:v>217.8</x:v>
      </x:c>
      <x:c r="I280" t="n">
        <x:f>E280-H280</x:f>
        <x:v>0</x:v>
      </x:c>
    </x:row>
    <x:row r="281">
      <x:c r="A281" t="str">
        <x:v>P0006</x:v>
      </x:c>
      <x:c r="B281" t="n">
        <x:v>10</x:v>
      </x:c>
      <x:c r="C281" t="n">
        <x:v>10</x:v>
      </x:c>
      <x:c r="D281" t="n">
        <x:v>64.13</x:v>
      </x:c>
      <x:c r="E281" t="n">
        <x:v>641.3</x:v>
      </x:c>
      <x:c r="F281" t="str">
        <x:f>IFERROR(VLOOKUP(A281,Product_Dim!$A$2:$D$481,4,FALSE),"Missing")</x:f>
        <x:v>Hardware</x:v>
      </x:c>
      <x:c r="G281" t="str">
        <x:f>IFERROR(INDEX(Product_Dim!$D$2:$D$481,MATCH(A281,Product_Dim!$A$2:$A$481,0)),"Missing")</x:f>
        <x:v>Hardware</x:v>
      </x:c>
      <x:c r="H281" t="n">
        <x:f>C281*D281</x:f>
        <x:v>641.3</x:v>
      </x:c>
      <x:c r="I281" t="n">
        <x:f>E281-H281</x:f>
        <x:v>0</x:v>
      </x:c>
    </x:row>
    <x:row r="282">
      <x:c r="A282" t="str">
        <x:v>P0334</x:v>
      </x:c>
      <x:c r="B282" t="n">
        <x:v>3</x:v>
      </x:c>
      <x:c r="C282" t="n">
        <x:v>3</x:v>
      </x:c>
      <x:c r="D282" t="n">
        <x:v>136.08</x:v>
      </x:c>
      <x:c r="E282" t="n">
        <x:v>408.24</x:v>
      </x:c>
      <x:c r="F282" t="str">
        <x:f>IFERROR(VLOOKUP(A282,Product_Dim!$A$2:$D$481,4,FALSE),"Missing")</x:f>
        <x:v>Hardware</x:v>
      </x:c>
      <x:c r="G282" t="str">
        <x:f>IFERROR(INDEX(Product_Dim!$D$2:$D$481,MATCH(A282,Product_Dim!$A$2:$A$481,0)),"Missing")</x:f>
        <x:v>Hardware</x:v>
      </x:c>
      <x:c r="H282" t="n">
        <x:f>C282*D282</x:f>
        <x:v>408.24</x:v>
      </x:c>
      <x:c r="I282" t="n">
        <x:f>E282-H282</x:f>
        <x:v>0</x:v>
      </x:c>
    </x:row>
    <x:row r="283">
      <x:c r="A283" t="str">
        <x:v>P0477</x:v>
      </x:c>
      <x:c r="B283" t="n">
        <x:v>15</x:v>
      </x:c>
      <x:c r="C283" t="n">
        <x:v>15</x:v>
      </x:c>
      <x:c r="D283" t="n">
        <x:v>92.77</x:v>
      </x:c>
      <x:c r="E283" t="n">
        <x:v>1391.55</x:v>
      </x:c>
      <x:c r="F283" t="str">
        <x:f>IFERROR(VLOOKUP(A283,Product_Dim!$A$2:$D$481,4,FALSE),"Missing")</x:f>
        <x:v>Packaging</x:v>
      </x:c>
      <x:c r="G283" t="str">
        <x:f>IFERROR(INDEX(Product_Dim!$D$2:$D$481,MATCH(A283,Product_Dim!$A$2:$A$481,0)),"Missing")</x:f>
        <x:v>Packaging</x:v>
      </x:c>
      <x:c r="H283" t="n">
        <x:f>C283*D283</x:f>
        <x:v>1391.55</x:v>
      </x:c>
      <x:c r="I283" t="n">
        <x:f>E283-H283</x:f>
        <x:v>0</x:v>
      </x:c>
    </x:row>
    <x:row r="284">
      <x:c r="A284" t="str">
        <x:v>P0367</x:v>
      </x:c>
      <x:c r="B284" t="n">
        <x:v>10</x:v>
      </x:c>
      <x:c r="C284" t="n">
        <x:v>10</x:v>
      </x:c>
      <x:c r="D284" t="n">
        <x:v>62.84</x:v>
      </x:c>
      <x:c r="E284" t="n">
        <x:v>628.4</x:v>
      </x:c>
      <x:c r="F284" t="str">
        <x:f>IFERROR(VLOOKUP(A284,Product_Dim!$A$2:$D$481,4,FALSE),"Missing")</x:f>
        <x:v>Electrical</x:v>
      </x:c>
      <x:c r="G284" t="str">
        <x:f>IFERROR(INDEX(Product_Dim!$D$2:$D$481,MATCH(A284,Product_Dim!$A$2:$A$481,0)),"Missing")</x:f>
        <x:v>Electrical</x:v>
      </x:c>
      <x:c r="H284" t="n">
        <x:f>C284*D284</x:f>
        <x:v>628.4000000000001</x:v>
      </x:c>
      <x:c r="I284" t="n">
        <x:f>E284-H284</x:f>
        <x:v>-1.1368683772161603e-13</x:v>
      </x:c>
    </x:row>
    <x:row r="285">
      <x:c r="A285" t="str">
        <x:v>P0001</x:v>
      </x:c>
      <x:c r="B285" t="n">
        <x:v>20</x:v>
      </x:c>
      <x:c r="C285" t="n">
        <x:v>20</x:v>
      </x:c>
      <x:c r="D285" t="n">
        <x:v>43.13</x:v>
      </x:c>
      <x:c r="E285" t="n">
        <x:v>862.6</x:v>
      </x:c>
      <x:c r="F285" t="str">
        <x:f>IFERROR(VLOOKUP(A285,Product_Dim!$A$2:$D$481,4,FALSE),"Missing")</x:f>
        <x:v>Beverages</x:v>
      </x:c>
      <x:c r="G285" t="str">
        <x:f>IFERROR(INDEX(Product_Dim!$D$2:$D$481,MATCH(A285,Product_Dim!$A$2:$A$481,0)),"Missing")</x:f>
        <x:v>Beverages</x:v>
      </x:c>
      <x:c r="H285" t="n">
        <x:f>C285*D285</x:f>
        <x:v>862.6</x:v>
      </x:c>
      <x:c r="I285" t="n">
        <x:f>E285-H285</x:f>
        <x:v>0</x:v>
      </x:c>
    </x:row>
    <x:row r="286">
      <x:c r="A286" t="str">
        <x:v>P0029</x:v>
      </x:c>
      <x:c r="B286" t="n">
        <x:v>8</x:v>
      </x:c>
      <x:c r="C286" t="n">
        <x:v>8</x:v>
      </x:c>
      <x:c r="D286" t="n">
        <x:v>48.27</x:v>
      </x:c>
      <x:c r="E286" t="n">
        <x:v>386.16</x:v>
      </x:c>
      <x:c r="F286" t="str">
        <x:f>IFERROR(VLOOKUP(A286,Product_Dim!$A$2:$D$481,4,FALSE),"Missing")</x:f>
        <x:v>Packaging</x:v>
      </x:c>
      <x:c r="G286" t="str">
        <x:f>IFERROR(INDEX(Product_Dim!$D$2:$D$481,MATCH(A286,Product_Dim!$A$2:$A$481,0)),"Missing")</x:f>
        <x:v>Packaging</x:v>
      </x:c>
      <x:c r="H286" t="n">
        <x:f>C286*D286</x:f>
        <x:v>386.16</x:v>
      </x:c>
      <x:c r="I286" t="n">
        <x:f>E286-H286</x:f>
        <x:v>0</x:v>
      </x:c>
    </x:row>
    <x:row r="287">
      <x:c r="A287" t="str">
        <x:v>P0152</x:v>
      </x:c>
      <x:c r="B287" t="n">
        <x:v>1</x:v>
      </x:c>
      <x:c r="C287" t="n">
        <x:v>1</x:v>
      </x:c>
      <x:c r="D287" t="n">
        <x:v>73.94</x:v>
      </x:c>
      <x:c r="E287" t="n">
        <x:v>73.94</x:v>
      </x:c>
      <x:c r="F287" t="str">
        <x:f>IFERROR(VLOOKUP(A287,Product_Dim!$A$2:$D$481,4,FALSE),"Missing")</x:f>
        <x:v>Cleaning</x:v>
      </x:c>
      <x:c r="G287" t="str">
        <x:f>IFERROR(INDEX(Product_Dim!$D$2:$D$481,MATCH(A287,Product_Dim!$A$2:$A$481,0)),"Missing")</x:f>
        <x:v>Cleaning</x:v>
      </x:c>
      <x:c r="H287" t="n">
        <x:f>C287*D287</x:f>
        <x:v>73.94</x:v>
      </x:c>
      <x:c r="I287" t="n">
        <x:f>E287-H287</x:f>
        <x:v>0</x:v>
      </x:c>
    </x:row>
    <x:row r="288">
      <x:c r="A288" t="str">
        <x:v>P0002</x:v>
      </x:c>
      <x:c r="B288" t="n">
        <x:v>5</x:v>
      </x:c>
      <x:c r="C288" t="n">
        <x:v>5</x:v>
      </x:c>
      <x:c r="D288" t="n">
        <x:v>136.31</x:v>
      </x:c>
      <x:c r="E288" t="n">
        <x:v>681.55</x:v>
      </x:c>
      <x:c r="F288" t="str">
        <x:f>IFERROR(VLOOKUP(A288,Product_Dim!$A$2:$D$481,4,FALSE),"Missing")</x:f>
        <x:v>Dry Grocery</x:v>
      </x:c>
      <x:c r="G288" t="str">
        <x:f>IFERROR(INDEX(Product_Dim!$D$2:$D$481,MATCH(A288,Product_Dim!$A$2:$A$481,0)),"Missing")</x:f>
        <x:v>Dry Grocery</x:v>
      </x:c>
      <x:c r="H288" t="n">
        <x:f>C288*D288</x:f>
        <x:v>681.55</x:v>
      </x:c>
      <x:c r="I288" t="n">
        <x:f>E288-H288</x:f>
        <x:v>0</x:v>
      </x:c>
    </x:row>
    <x:row r="289">
      <x:c r="A289" t="str">
        <x:v>P0008</x:v>
      </x:c>
      <x:c r="B289" t="n">
        <x:v>15</x:v>
      </x:c>
      <x:c r="C289" t="n">
        <x:v>15</x:v>
      </x:c>
      <x:c r="D289" t="n">
        <x:v>163.99</x:v>
      </x:c>
      <x:c r="E289" t="n">
        <x:v>2459.85</x:v>
      </x:c>
      <x:c r="F289" t="str">
        <x:f>IFERROR(VLOOKUP(A289,Product_Dim!$A$2:$D$481,4,FALSE),"Missing")</x:f>
        <x:v>Cleaning</x:v>
      </x:c>
      <x:c r="G289" t="str">
        <x:f>IFERROR(INDEX(Product_Dim!$D$2:$D$481,MATCH(A289,Product_Dim!$A$2:$A$481,0)),"Missing")</x:f>
        <x:v>Cleaning</x:v>
      </x:c>
      <x:c r="H289" t="n">
        <x:f>C289*D289</x:f>
        <x:v>2459.8500000000004</x:v>
      </x:c>
      <x:c r="I289" t="n">
        <x:f>E289-H289</x:f>
        <x:v>-4.547473508864641e-13</x:v>
      </x:c>
    </x:row>
    <x:row r="290">
      <x:c r="A290" t="str">
        <x:v>P0183</x:v>
      </x:c>
      <x:c r="B290" t="n">
        <x:v>30</x:v>
      </x:c>
      <x:c r="C290" t="n">
        <x:v>30</x:v>
      </x:c>
      <x:c r="D290" t="n">
        <x:v>169.52</x:v>
      </x:c>
      <x:c r="E290" t="n">
        <x:v>5085.6</x:v>
      </x:c>
      <x:c r="F290" t="str">
        <x:f>IFERROR(VLOOKUP(A290,Product_Dim!$A$2:$D$481,4,FALSE),"Missing")</x:f>
        <x:v>Electrical</x:v>
      </x:c>
      <x:c r="G290" t="str">
        <x:f>IFERROR(INDEX(Product_Dim!$D$2:$D$481,MATCH(A290,Product_Dim!$A$2:$A$481,0)),"Missing")</x:f>
        <x:v>Electrical</x:v>
      </x:c>
      <x:c r="H290" t="n">
        <x:f>C290*D290</x:f>
        <x:v>5085.6</x:v>
      </x:c>
      <x:c r="I290" t="n">
        <x:f>E290-H290</x:f>
        <x:v>0</x:v>
      </x:c>
    </x:row>
    <x:row r="291">
      <x:c r="A291" t="str">
        <x:v>P0033</x:v>
      </x:c>
      <x:c r="B291" t="n">
        <x:v>8</x:v>
      </x:c>
      <x:c r="C291" t="n">
        <x:v>0</x:v>
      </x:c>
      <x:c r="D291" t="n">
        <x:v>59.24</x:v>
      </x:c>
      <x:c r="E291" t="str">
        <x:v>0.0</x:v>
      </x:c>
      <x:c r="F291" t="str">
        <x:f>IFERROR(VLOOKUP(A291,Product_Dim!$A$2:$D$481,4,FALSE),"Missing")</x:f>
        <x:v>Beverages</x:v>
      </x:c>
      <x:c r="G291" t="str">
        <x:f>IFERROR(INDEX(Product_Dim!$D$2:$D$481,MATCH(A291,Product_Dim!$A$2:$A$481,0)),"Missing")</x:f>
        <x:v>Beverages</x:v>
      </x:c>
      <x:c r="H291" t="n">
        <x:f>C291*D291</x:f>
        <x:v>0</x:v>
      </x:c>
      <x:c r="I291" t="n">
        <x:f>E291-H291</x:f>
        <x:v>0</x:v>
      </x:c>
    </x:row>
    <x:row r="292">
      <x:c r="A292" t="str">
        <x:v>P0389</x:v>
      </x:c>
      <x:c r="B292" t="n">
        <x:v>15</x:v>
      </x:c>
      <x:c r="C292" t="n">
        <x:v>15</x:v>
      </x:c>
      <x:c r="D292" t="n">
        <x:v>5.98</x:v>
      </x:c>
      <x:c r="E292" t="n">
        <x:v>89.7</x:v>
      </x:c>
      <x:c r="F292" t="str">
        <x:f>IFERROR(VLOOKUP(A292,Product_Dim!$A$2:$D$481,4,FALSE),"Missing")</x:f>
        <x:v>Packaging</x:v>
      </x:c>
      <x:c r="G292" t="str">
        <x:f>IFERROR(INDEX(Product_Dim!$D$2:$D$481,MATCH(A292,Product_Dim!$A$2:$A$481,0)),"Missing")</x:f>
        <x:v>Packaging</x:v>
      </x:c>
      <x:c r="H292" t="n">
        <x:f>C292*D292</x:f>
        <x:v>89.7</x:v>
      </x:c>
      <x:c r="I292" t="n">
        <x:f>E292-H292</x:f>
        <x:v>0</x:v>
      </x:c>
    </x:row>
    <x:row r="293">
      <x:c r="A293" t="str">
        <x:v>P0066</x:v>
      </x:c>
      <x:c r="B293" t="n">
        <x:v>30</x:v>
      </x:c>
      <x:c r="C293" t="n">
        <x:v>30</x:v>
      </x:c>
      <x:c r="D293" t="n">
        <x:v>160.79</x:v>
      </x:c>
      <x:c r="E293" t="n">
        <x:v>4823.7</x:v>
      </x:c>
      <x:c r="F293" t="str">
        <x:f>IFERROR(VLOOKUP(A293,Product_Dim!$A$2:$D$481,4,FALSE),"Missing")</x:f>
        <x:v>Dry Grocery</x:v>
      </x:c>
      <x:c r="G293" t="str">
        <x:f>IFERROR(INDEX(Product_Dim!$D$2:$D$481,MATCH(A293,Product_Dim!$A$2:$A$481,0)),"Missing")</x:f>
        <x:v>Dry Grocery</x:v>
      </x:c>
      <x:c r="H293" t="n">
        <x:f>C293*D293</x:f>
        <x:v>4823.7</x:v>
      </x:c>
      <x:c r="I293" t="n">
        <x:f>E293-H293</x:f>
        <x:v>0</x:v>
      </x:c>
    </x:row>
    <x:row r="294">
      <x:c r="A294" t="str">
        <x:v>P0274</x:v>
      </x:c>
      <x:c r="B294" t="n">
        <x:v>30</x:v>
      </x:c>
      <x:c r="C294" t="n">
        <x:v>30</x:v>
      </x:c>
      <x:c r="D294" t="n">
        <x:v>95.09</x:v>
      </x:c>
      <x:c r="E294" t="n">
        <x:v>2852.7</x:v>
      </x:c>
      <x:c r="F294" t="str">
        <x:f>IFERROR(VLOOKUP(A294,Product_Dim!$A$2:$D$481,4,FALSE),"Missing")</x:f>
        <x:v>Dry Grocery</x:v>
      </x:c>
      <x:c r="G294" t="str">
        <x:f>IFERROR(INDEX(Product_Dim!$D$2:$D$481,MATCH(A294,Product_Dim!$A$2:$A$481,0)),"Missing")</x:f>
        <x:v>Dry Grocery</x:v>
      </x:c>
      <x:c r="H294" t="n">
        <x:f>C294*D294</x:f>
        <x:v>2852.7000000000003</x:v>
      </x:c>
      <x:c r="I294" t="n">
        <x:f>E294-H294</x:f>
        <x:v>-4.547473508864641e-13</x:v>
      </x:c>
    </x:row>
    <x:row r="295">
      <x:c r="A295" t="str">
        <x:v>P0069</x:v>
      </x:c>
      <x:c r="B295" t="n">
        <x:v>15</x:v>
      </x:c>
      <x:c r="C295" t="n">
        <x:v>15</x:v>
      </x:c>
      <x:c r="D295" t="n">
        <x:v>17.02</x:v>
      </x:c>
      <x:c r="E295" t="n">
        <x:v>255.3</x:v>
      </x:c>
      <x:c r="F295" t="str">
        <x:f>IFERROR(VLOOKUP(A295,Product_Dim!$A$2:$D$481,4,FALSE),"Missing")</x:f>
        <x:v>Packaging</x:v>
      </x:c>
      <x:c r="G295" t="str">
        <x:f>IFERROR(INDEX(Product_Dim!$D$2:$D$481,MATCH(A295,Product_Dim!$A$2:$A$481,0)),"Missing")</x:f>
        <x:v>Packaging</x:v>
      </x:c>
      <x:c r="H295" t="n">
        <x:f>C295*D295</x:f>
        <x:v>255.29999999999998</x:v>
      </x:c>
      <x:c r="I295" t="n">
        <x:f>E295-H295</x:f>
        <x:v>2.842170943040401e-14</x:v>
      </x:c>
    </x:row>
    <x:row r="296">
      <x:c r="A296" t="str">
        <x:v>P0295</x:v>
      </x:c>
      <x:c r="B296" t="n">
        <x:v>10</x:v>
      </x:c>
      <x:c r="C296" t="n">
        <x:v>10</x:v>
      </x:c>
      <x:c r="D296" t="n">
        <x:v>164.79</x:v>
      </x:c>
      <x:c r="E296" t="n">
        <x:v>1647.9</x:v>
      </x:c>
      <x:c r="F296" t="str">
        <x:f>IFERROR(VLOOKUP(A296,Product_Dim!$A$2:$D$481,4,FALSE),"Missing")</x:f>
        <x:v>Electrical</x:v>
      </x:c>
      <x:c r="G296" t="str">
        <x:f>IFERROR(INDEX(Product_Dim!$D$2:$D$481,MATCH(A296,Product_Dim!$A$2:$A$481,0)),"Missing")</x:f>
        <x:v>Electrical</x:v>
      </x:c>
      <x:c r="H296" t="n">
        <x:f>C296*D296</x:f>
        <x:v>1647.8999999999999</x:v>
      </x:c>
      <x:c r="I296" t="n">
        <x:f>E296-H296</x:f>
        <x:v>2.2737367544323206e-13</x:v>
      </x:c>
    </x:row>
    <x:row r="297">
      <x:c r="A297" t="str">
        <x:v>P0467</x:v>
      </x:c>
      <x:c r="B297" t="n">
        <x:v>15</x:v>
      </x:c>
      <x:c r="C297" t="n">
        <x:v>15</x:v>
      </x:c>
      <x:c r="D297" t="n">
        <x:v>177.73</x:v>
      </x:c>
      <x:c r="E297" t="n">
        <x:v>2665.95</x:v>
      </x:c>
      <x:c r="F297" t="str">
        <x:f>IFERROR(VLOOKUP(A297,Product_Dim!$A$2:$D$481,4,FALSE),"Missing")</x:f>
        <x:v>Household</x:v>
      </x:c>
      <x:c r="G297" t="str">
        <x:f>IFERROR(INDEX(Product_Dim!$D$2:$D$481,MATCH(A297,Product_Dim!$A$2:$A$481,0)),"Missing")</x:f>
        <x:v>Household</x:v>
      </x:c>
      <x:c r="H297" t="n">
        <x:f>C297*D297</x:f>
        <x:v>2665.95</x:v>
      </x:c>
      <x:c r="I297" t="n">
        <x:f>E297-H297</x:f>
        <x:v>0</x:v>
      </x:c>
    </x:row>
    <x:row r="298">
      <x:c r="A298" t="str">
        <x:v>P0196</x:v>
      </x:c>
      <x:c r="B298" t="n">
        <x:v>3</x:v>
      </x:c>
      <x:c r="C298" t="n">
        <x:v>3</x:v>
      </x:c>
      <x:c r="D298" t="n">
        <x:v>210.33</x:v>
      </x:c>
      <x:c r="E298" t="n">
        <x:v>630.99</x:v>
      </x:c>
      <x:c r="F298" t="str">
        <x:f>IFERROR(VLOOKUP(A298,Product_Dim!$A$2:$D$481,4,FALSE),"Missing")</x:f>
        <x:v>Personal Care</x:v>
      </x:c>
      <x:c r="G298" t="str">
        <x:f>IFERROR(INDEX(Product_Dim!$D$2:$D$481,MATCH(A298,Product_Dim!$A$2:$A$481,0)),"Missing")</x:f>
        <x:v>Personal Care</x:v>
      </x:c>
      <x:c r="H298" t="n">
        <x:f>C298*D298</x:f>
        <x:v>630.99</x:v>
      </x:c>
      <x:c r="I298" t="n">
        <x:f>E298-H298</x:f>
        <x:v>0</x:v>
      </x:c>
    </x:row>
    <x:row r="299">
      <x:c r="A299" t="str">
        <x:v>P0427</x:v>
      </x:c>
      <x:c r="B299" t="n">
        <x:v>10</x:v>
      </x:c>
      <x:c r="C299" t="n">
        <x:v>10</x:v>
      </x:c>
      <x:c r="D299" t="n">
        <x:v>15.87</x:v>
      </x:c>
      <x:c r="E299" t="n">
        <x:v>158.7</x:v>
      </x:c>
      <x:c r="F299" t="str">
        <x:f>IFERROR(VLOOKUP(A299,Product_Dim!$A$2:$D$481,4,FALSE),"Missing")</x:f>
        <x:v>Household</x:v>
      </x:c>
      <x:c r="G299" t="str">
        <x:f>IFERROR(INDEX(Product_Dim!$D$2:$D$481,MATCH(A299,Product_Dim!$A$2:$A$481,0)),"Missing")</x:f>
        <x:v>Household</x:v>
      </x:c>
      <x:c r="H299" t="n">
        <x:f>C299*D299</x:f>
        <x:v>158.7</x:v>
      </x:c>
      <x:c r="I299" t="n">
        <x:f>E299-H299</x:f>
        <x:v>0</x:v>
      </x:c>
    </x:row>
    <x:row r="300">
      <x:c r="A300" t="str">
        <x:v>P0067</x:v>
      </x:c>
      <x:c r="B300" t="n">
        <x:v>8</x:v>
      </x:c>
      <x:c r="C300" t="n">
        <x:v>8</x:v>
      </x:c>
      <x:c r="D300" t="n">
        <x:v>199.95</x:v>
      </x:c>
      <x:c r="E300" t="n">
        <x:v>1599.6</x:v>
      </x:c>
      <x:c r="F300" t="str">
        <x:f>IFERROR(VLOOKUP(A300,Product_Dim!$A$2:$D$481,4,FALSE),"Missing")</x:f>
        <x:v>Household</x:v>
      </x:c>
      <x:c r="G300" t="str">
        <x:f>IFERROR(INDEX(Product_Dim!$D$2:$D$481,MATCH(A300,Product_Dim!$A$2:$A$481,0)),"Missing")</x:f>
        <x:v>Household</x:v>
      </x:c>
      <x:c r="H300" t="n">
        <x:f>C300*D300</x:f>
        <x:v>1599.6</x:v>
      </x:c>
      <x:c r="I300" t="n">
        <x:f>E300-H300</x:f>
        <x:v>0</x:v>
      </x:c>
    </x:row>
    <x:row r="301">
      <x:c r="A301" t="str">
        <x:v>P0036</x:v>
      </x:c>
      <x:c r="B301" t="n">
        <x:v>10</x:v>
      </x:c>
      <x:c r="C301" t="n">
        <x:v>10</x:v>
      </x:c>
      <x:c r="D301" t="n">
        <x:v>67.75</x:v>
      </x:c>
      <x:c r="E301" t="n">
        <x:v>677.5</x:v>
      </x:c>
      <x:c r="F301" t="str">
        <x:f>IFERROR(VLOOKUP(A301,Product_Dim!$A$2:$D$481,4,FALSE),"Missing")</x:f>
        <x:v>Personal Care</x:v>
      </x:c>
      <x:c r="G301" t="str">
        <x:f>IFERROR(INDEX(Product_Dim!$D$2:$D$481,MATCH(A301,Product_Dim!$A$2:$A$481,0)),"Missing")</x:f>
        <x:v>Personal Care</x:v>
      </x:c>
      <x:c r="H301" t="n">
        <x:f>C301*D301</x:f>
        <x:v>677.5</x:v>
      </x:c>
      <x:c r="I301" t="n">
        <x:f>E301-H301</x:f>
        <x:v>0</x:v>
      </x:c>
    </x:row>
  </x:sheetData>
  <x:conditionalFormatting sqref="I2:I301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51ef3b691b410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7" customHeight="1">
      <x:c r="A1" s="15" t="str">
        <x:v>YearMonth</x:v>
      </x:c>
      <x:c r="B1" s="15" t="str">
        <x:v>Region</x:v>
      </x:c>
      <x:c r="C1" s="15" t="str">
        <x:v>TargetSalesNZD</x:v>
      </x:c>
      <x:c r="D1" s="15" t="str">
        <x:v>TargetOTIF</x:v>
      </x:c>
      <x:c r="E1" s="15" t="str">
        <x:v>TargetGrossProfitNZD</x:v>
      </x:c>
    </x:row>
    <x:row r="2">
      <x:c r="A2" t="str">
        <x:v>2024-10</x:v>
      </x:c>
      <x:c r="B2" t="str">
        <x:v>Auckland</x:v>
      </x:c>
      <x:c r="C2" t="n">
        <x:v>2243193.65</x:v>
      </x:c>
      <x:c r="D2" t="str">
        <x:v>0.95</x:v>
      </x:c>
      <x:c r="E2" t="n">
        <x:v>740253.9</x:v>
      </x:c>
    </x:row>
    <x:row r="3">
      <x:c r="A3" t="str">
        <x:v>2024-10</x:v>
      </x:c>
      <x:c r="B3" t="str">
        <x:v>Waikato</x:v>
      </x:c>
      <x:c r="C3" t="n">
        <x:v>2133012.16</x:v>
      </x:c>
      <x:c r="D3" t="str">
        <x:v>0.95</x:v>
      </x:c>
      <x:c r="E3" t="n">
        <x:v>703894.01</x:v>
      </x:c>
    </x:row>
    <x:row r="4">
      <x:c r="A4" t="str">
        <x:v>2024-10</x:v>
      </x:c>
      <x:c r="B4" t="str">
        <x:v>Bay of Plenty</x:v>
      </x:c>
      <x:c r="C4" t="n">
        <x:v>1744420.88</x:v>
      </x:c>
      <x:c r="D4" t="str">
        <x:v>0.95</x:v>
      </x:c>
      <x:c r="E4" t="n">
        <x:v>575658.89</x:v>
      </x:c>
    </x:row>
    <x:row r="5">
      <x:c r="A5" t="str">
        <x:v>2024-10</x:v>
      </x:c>
      <x:c r="B5" t="str">
        <x:v>Wellington</x:v>
      </x:c>
      <x:c r="C5" t="n">
        <x:v>2075597.59</x:v>
      </x:c>
      <x:c r="D5" t="str">
        <x:v>0.94</x:v>
      </x:c>
      <x:c r="E5" t="n">
        <x:v>684947.2</x:v>
      </x:c>
    </x:row>
    <x:row r="6">
      <x:c r="A6" t="str">
        <x:v>2024-10</x:v>
      </x:c>
      <x:c r="B6" t="str">
        <x:v>Canterbury</x:v>
      </x:c>
      <x:c r="C6" t="n">
        <x:v>1687569.19</x:v>
      </x:c>
      <x:c r="D6" t="str">
        <x:v>0.94</x:v>
      </x:c>
      <x:c r="E6" t="n">
        <x:v>556897.83</x:v>
      </x:c>
    </x:row>
    <x:row r="7">
      <x:c r="A7" t="str">
        <x:v>2024-11</x:v>
      </x:c>
      <x:c r="B7" t="str">
        <x:v>Auckland</x:v>
      </x:c>
      <x:c r="C7" t="n">
        <x:v>2205081.59</x:v>
      </x:c>
      <x:c r="D7" t="str">
        <x:v>0.95</x:v>
      </x:c>
      <x:c r="E7" t="n">
        <x:v>727676.92</x:v>
      </x:c>
    </x:row>
    <x:row r="8">
      <x:c r="A8" t="str">
        <x:v>2024-11</x:v>
      </x:c>
      <x:c r="B8" t="str">
        <x:v>Waikato</x:v>
      </x:c>
      <x:c r="C8" t="n">
        <x:v>2587767.04</x:v>
      </x:c>
      <x:c r="D8" t="str">
        <x:v>0.95</x:v>
      </x:c>
      <x:c r="E8" t="n">
        <x:v>853963.12</x:v>
      </x:c>
    </x:row>
    <x:row r="9">
      <x:c r="A9" t="str">
        <x:v>2024-11</x:v>
      </x:c>
      <x:c r="B9" t="str">
        <x:v>Bay of Plenty</x:v>
      </x:c>
      <x:c r="C9" t="n">
        <x:v>2537170.94</x:v>
      </x:c>
      <x:c r="D9" t="str">
        <x:v>0.95</x:v>
      </x:c>
      <x:c r="E9" t="n">
        <x:v>837266.41</x:v>
      </x:c>
    </x:row>
    <x:row r="10">
      <x:c r="A10" t="str">
        <x:v>2024-11</x:v>
      </x:c>
      <x:c r="B10" t="str">
        <x:v>Wellington</x:v>
      </x:c>
      <x:c r="C10" t="n">
        <x:v>2195691.34</x:v>
      </x:c>
      <x:c r="D10" t="str">
        <x:v>0.94</x:v>
      </x:c>
      <x:c r="E10" t="n">
        <x:v>724578.14</x:v>
      </x:c>
    </x:row>
    <x:row r="11">
      <x:c r="A11" t="str">
        <x:v>2024-11</x:v>
      </x:c>
      <x:c r="B11" t="str">
        <x:v>Canterbury</x:v>
      </x:c>
      <x:c r="C11" t="n">
        <x:v>2768558.42</x:v>
      </x:c>
      <x:c r="D11" t="str">
        <x:v>0.94</x:v>
      </x:c>
      <x:c r="E11" t="n">
        <x:v>913624.28</x:v>
      </x:c>
    </x:row>
    <x:row r="12">
      <x:c r="A12" t="str">
        <x:v>2024-12</x:v>
      </x:c>
      <x:c r="B12" t="str">
        <x:v>Auckland</x:v>
      </x:c>
      <x:c r="C12" t="n">
        <x:v>2404277.3</x:v>
      </x:c>
      <x:c r="D12" t="str">
        <x:v>0.95</x:v>
      </x:c>
      <x:c r="E12" t="n">
        <x:v>793411.51</x:v>
      </x:c>
    </x:row>
    <x:row r="13">
      <x:c r="A13" t="str">
        <x:v>2024-12</x:v>
      </x:c>
      <x:c r="B13" t="str">
        <x:v>Waikato</x:v>
      </x:c>
      <x:c r="C13" t="n">
        <x:v>2399798.61</x:v>
      </x:c>
      <x:c r="D13" t="str">
        <x:v>0.95</x:v>
      </x:c>
      <x:c r="E13" t="n">
        <x:v>791933.54</x:v>
      </x:c>
    </x:row>
    <x:row r="14">
      <x:c r="A14" t="str">
        <x:v>2024-12</x:v>
      </x:c>
      <x:c r="B14" t="str">
        <x:v>Bay of Plenty</x:v>
      </x:c>
      <x:c r="C14" t="n">
        <x:v>2603814.79</x:v>
      </x:c>
      <x:c r="D14" t="str">
        <x:v>0.95</x:v>
      </x:c>
      <x:c r="E14" t="n">
        <x:v>859258.88</x:v>
      </x:c>
    </x:row>
    <x:row r="15">
      <x:c r="A15" t="str">
        <x:v>2024-12</x:v>
      </x:c>
      <x:c r="B15" t="str">
        <x:v>Wellington</x:v>
      </x:c>
      <x:c r="C15" t="n">
        <x:v>2539141.1</x:v>
      </x:c>
      <x:c r="D15" t="str">
        <x:v>0.94</x:v>
      </x:c>
      <x:c r="E15" t="n">
        <x:v>837916.56</x:v>
      </x:c>
    </x:row>
    <x:row r="16">
      <x:c r="A16" t="str">
        <x:v>2024-12</x:v>
      </x:c>
      <x:c r="B16" t="str">
        <x:v>Canterbury</x:v>
      </x:c>
      <x:c r="C16" t="n">
        <x:v>2290694.46</x:v>
      </x:c>
      <x:c r="D16" t="str">
        <x:v>0.94</x:v>
      </x:c>
      <x:c r="E16" t="n">
        <x:v>755929.17</x:v>
      </x:c>
    </x:row>
    <x:row r="17">
      <x:c r="A17" t="str">
        <x:v>2025-01</x:v>
      </x:c>
      <x:c r="B17" t="str">
        <x:v>Auckland</x:v>
      </x:c>
      <x:c r="C17" t="n">
        <x:v>1789977.71</x:v>
      </x:c>
      <x:c r="D17" t="str">
        <x:v>0.95</x:v>
      </x:c>
      <x:c r="E17" t="n">
        <x:v>590692.64</x:v>
      </x:c>
    </x:row>
    <x:row r="18">
      <x:c r="A18" t="str">
        <x:v>2025-01</x:v>
      </x:c>
      <x:c r="B18" t="str">
        <x:v>Waikato</x:v>
      </x:c>
      <x:c r="C18" t="n">
        <x:v>1638675.06</x:v>
      </x:c>
      <x:c r="D18" t="str">
        <x:v>0.95</x:v>
      </x:c>
      <x:c r="E18" t="n">
        <x:v>540762.77</x:v>
      </x:c>
    </x:row>
    <x:row r="19">
      <x:c r="A19" t="str">
        <x:v>2025-01</x:v>
      </x:c>
      <x:c r="B19" t="str">
        <x:v>Bay of Plenty</x:v>
      </x:c>
      <x:c r="C19" t="n">
        <x:v>1746987</x:v>
      </x:c>
      <x:c r="D19" t="str">
        <x:v>0.95</x:v>
      </x:c>
      <x:c r="E19" t="n">
        <x:v>576505.71</x:v>
      </x:c>
    </x:row>
    <x:row r="20">
      <x:c r="A20" t="str">
        <x:v>2025-01</x:v>
      </x:c>
      <x:c r="B20" t="str">
        <x:v>Wellington</x:v>
      </x:c>
      <x:c r="C20" t="n">
        <x:v>1525787.64</x:v>
      </x:c>
      <x:c r="D20" t="str">
        <x:v>0.94</x:v>
      </x:c>
      <x:c r="E20" t="n">
        <x:v>503509.92</x:v>
      </x:c>
    </x:row>
    <x:row r="21">
      <x:c r="A21" t="str">
        <x:v>2025-01</x:v>
      </x:c>
      <x:c r="B21" t="str">
        <x:v>Canterbury</x:v>
      </x:c>
      <x:c r="C21" t="n">
        <x:v>1728187.09</x:v>
      </x:c>
      <x:c r="D21" t="str">
        <x:v>0.94</x:v>
      </x:c>
      <x:c r="E21" t="n">
        <x:v>570301.74</x:v>
      </x:c>
    </x:row>
    <x:row r="22">
      <x:c r="A22" t="str">
        <x:v>2025-02</x:v>
      </x:c>
      <x:c r="B22" t="str">
        <x:v>Auckland</x:v>
      </x:c>
      <x:c r="C22" t="n">
        <x:v>1302923.01</x:v>
      </x:c>
      <x:c r="D22" t="str">
        <x:v>0.95</x:v>
      </x:c>
      <x:c r="E22" t="n">
        <x:v>429964.59</x:v>
      </x:c>
    </x:row>
    <x:row r="23">
      <x:c r="A23" t="str">
        <x:v>2025-02</x:v>
      </x:c>
      <x:c r="B23" t="str">
        <x:v>Waikato</x:v>
      </x:c>
      <x:c r="C23" t="n">
        <x:v>1599730.99</x:v>
      </x:c>
      <x:c r="D23" t="str">
        <x:v>0.95</x:v>
      </x:c>
      <x:c r="E23" t="n">
        <x:v>527911.23</x:v>
      </x:c>
    </x:row>
    <x:row r="24">
      <x:c r="A24" t="str">
        <x:v>2025-02</x:v>
      </x:c>
      <x:c r="B24" t="str">
        <x:v>Bay of Plenty</x:v>
      </x:c>
      <x:c r="C24" t="n">
        <x:v>1642840.26</x:v>
      </x:c>
      <x:c r="D24" t="str">
        <x:v>0.95</x:v>
      </x:c>
      <x:c r="E24" t="n">
        <x:v>542137.29</x:v>
      </x:c>
    </x:row>
    <x:row r="25">
      <x:c r="A25" t="str">
        <x:v>2025-02</x:v>
      </x:c>
      <x:c r="B25" t="str">
        <x:v>Wellington</x:v>
      </x:c>
      <x:c r="C25" t="n">
        <x:v>1683936</x:v>
      </x:c>
      <x:c r="D25" t="str">
        <x:v>0.94</x:v>
      </x:c>
      <x:c r="E25" t="n">
        <x:v>555698.88</x:v>
      </x:c>
    </x:row>
    <x:row r="26">
      <x:c r="A26" t="str">
        <x:v>2025-02</x:v>
      </x:c>
      <x:c r="B26" t="str">
        <x:v>Canterbury</x:v>
      </x:c>
      <x:c r="C26" t="n">
        <x:v>1507724.5</x:v>
      </x:c>
      <x:c r="D26" t="str">
        <x:v>0.94</x:v>
      </x:c>
      <x:c r="E26" t="n">
        <x:v>497549.09</x:v>
      </x:c>
    </x:row>
    <x:row r="27">
      <x:c r="A27" t="str">
        <x:v>2025-03</x:v>
      </x:c>
      <x:c r="B27" t="str">
        <x:v>Auckland</x:v>
      </x:c>
      <x:c r="C27" t="n">
        <x:v>1554435.01</x:v>
      </x:c>
      <x:c r="D27" t="str">
        <x:v>0.95</x:v>
      </x:c>
      <x:c r="E27" t="n">
        <x:v>512963.55</x:v>
      </x:c>
    </x:row>
    <x:row r="28">
      <x:c r="A28" t="str">
        <x:v>2025-03</x:v>
      </x:c>
      <x:c r="B28" t="str">
        <x:v>Waikato</x:v>
      </x:c>
      <x:c r="C28" t="n">
        <x:v>1314500.88</x:v>
      </x:c>
      <x:c r="D28" t="str">
        <x:v>0.95</x:v>
      </x:c>
      <x:c r="E28" t="n">
        <x:v>433785.29</x:v>
      </x:c>
    </x:row>
    <x:row r="29">
      <x:c r="A29" t="str">
        <x:v>2025-03</x:v>
      </x:c>
      <x:c r="B29" t="str">
        <x:v>Bay of Plenty</x:v>
      </x:c>
      <x:c r="C29" t="n">
        <x:v>1469956.8</x:v>
      </x:c>
      <x:c r="D29" t="str">
        <x:v>0.95</x:v>
      </x:c>
      <x:c r="E29" t="n">
        <x:v>485085.74</x:v>
      </x:c>
    </x:row>
    <x:row r="30">
      <x:c r="A30" t="str">
        <x:v>2025-03</x:v>
      </x:c>
      <x:c r="B30" t="str">
        <x:v>Wellington</x:v>
      </x:c>
      <x:c r="C30" t="n">
        <x:v>1530549.42</x:v>
      </x:c>
      <x:c r="D30" t="str">
        <x:v>0.94</x:v>
      </x:c>
      <x:c r="E30" t="n">
        <x:v>505081.31</x:v>
      </x:c>
    </x:row>
    <x:row r="31">
      <x:c r="A31" t="str">
        <x:v>2025-03</x:v>
      </x:c>
      <x:c r="B31" t="str">
        <x:v>Canterbury</x:v>
      </x:c>
      <x:c r="C31" t="n">
        <x:v>1640448.61</x:v>
      </x:c>
      <x:c r="D31" t="str">
        <x:v>0.94</x:v>
      </x:c>
      <x:c r="E31" t="n">
        <x:v>541348.04</x:v>
      </x:c>
    </x:row>
    <x:row r="32">
      <x:c r="A32" t="str">
        <x:v>2025-04</x:v>
      </x:c>
      <x:c r="B32" t="str">
        <x:v>Auckland</x:v>
      </x:c>
      <x:c r="C32" t="n">
        <x:v>1711745.63</x:v>
      </x:c>
      <x:c r="D32" t="str">
        <x:v>0.95</x:v>
      </x:c>
      <x:c r="E32" t="n">
        <x:v>564876.06</x:v>
      </x:c>
    </x:row>
    <x:row r="33">
      <x:c r="A33" t="str">
        <x:v>2025-04</x:v>
      </x:c>
      <x:c r="B33" t="str">
        <x:v>Waikato</x:v>
      </x:c>
      <x:c r="C33" t="n">
        <x:v>1664077.21</x:v>
      </x:c>
      <x:c r="D33" t="str">
        <x:v>0.95</x:v>
      </x:c>
      <x:c r="E33" t="n">
        <x:v>549145.48</x:v>
      </x:c>
    </x:row>
    <x:row r="34">
      <x:c r="A34" t="str">
        <x:v>2025-04</x:v>
      </x:c>
      <x:c r="B34" t="str">
        <x:v>Bay of Plenty</x:v>
      </x:c>
      <x:c r="C34" t="n">
        <x:v>1477090.15</x:v>
      </x:c>
      <x:c r="D34" t="str">
        <x:v>0.95</x:v>
      </x:c>
      <x:c r="E34" t="n">
        <x:v>487439.75</x:v>
      </x:c>
    </x:row>
    <x:row r="35">
      <x:c r="A35" t="str">
        <x:v>2025-04</x:v>
      </x:c>
      <x:c r="B35" t="str">
        <x:v>Wellington</x:v>
      </x:c>
      <x:c r="C35" t="n">
        <x:v>1802936.33</x:v>
      </x:c>
      <x:c r="D35" t="str">
        <x:v>0.94</x:v>
      </x:c>
      <x:c r="E35" t="n">
        <x:v>594968.99</x:v>
      </x:c>
    </x:row>
    <x:row r="36">
      <x:c r="A36" t="str">
        <x:v>2025-04</x:v>
      </x:c>
      <x:c r="B36" t="str">
        <x:v>Canterbury</x:v>
      </x:c>
      <x:c r="C36" t="n">
        <x:v>1821731.44</x:v>
      </x:c>
      <x:c r="D36" t="str">
        <x:v>0.94</x:v>
      </x:c>
      <x:c r="E36" t="n">
        <x:v>601171.38</x:v>
      </x:c>
    </x:row>
    <x:row r="37">
      <x:c r="A37" t="str">
        <x:v>2025-05</x:v>
      </x:c>
      <x:c r="B37" t="str">
        <x:v>Auckland</x:v>
      </x:c>
      <x:c r="C37" t="n">
        <x:v>1679023.49</x:v>
      </x:c>
      <x:c r="D37" t="str">
        <x:v>0.95</x:v>
      </x:c>
      <x:c r="E37" t="n">
        <x:v>554077.75</x:v>
      </x:c>
    </x:row>
    <x:row r="38">
      <x:c r="A38" t="str">
        <x:v>2025-05</x:v>
      </x:c>
      <x:c r="B38" t="str">
        <x:v>Waikato</x:v>
      </x:c>
      <x:c r="C38" t="n">
        <x:v>1872099.26</x:v>
      </x:c>
      <x:c r="D38" t="str">
        <x:v>0.95</x:v>
      </x:c>
      <x:c r="E38" t="n">
        <x:v>617792.76</x:v>
      </x:c>
    </x:row>
    <x:row r="39">
      <x:c r="A39" t="str">
        <x:v>2025-05</x:v>
      </x:c>
      <x:c r="B39" t="str">
        <x:v>Bay of Plenty</x:v>
      </x:c>
      <x:c r="C39" t="n">
        <x:v>1670149.72</x:v>
      </x:c>
      <x:c r="D39" t="str">
        <x:v>0.95</x:v>
      </x:c>
      <x:c r="E39" t="n">
        <x:v>551149.41</x:v>
      </x:c>
    </x:row>
    <x:row r="40">
      <x:c r="A40" t="str">
        <x:v>2025-05</x:v>
      </x:c>
      <x:c r="B40" t="str">
        <x:v>Wellington</x:v>
      </x:c>
      <x:c r="C40" t="n">
        <x:v>1785901.59</x:v>
      </x:c>
      <x:c r="D40" t="str">
        <x:v>0.94</x:v>
      </x:c>
      <x:c r="E40" t="n">
        <x:v>589347.52</x:v>
      </x:c>
    </x:row>
    <x:row r="41">
      <x:c r="A41" t="str">
        <x:v>2025-05</x:v>
      </x:c>
      <x:c r="B41" t="str">
        <x:v>Canterbury</x:v>
      </x:c>
      <x:c r="C41" t="n">
        <x:v>1805572.12</x:v>
      </x:c>
      <x:c r="D41" t="str">
        <x:v>0.94</x:v>
      </x:c>
      <x:c r="E41" t="n">
        <x:v>595838.8</x:v>
      </x:c>
    </x:row>
    <x:row r="42">
      <x:c r="A42" t="str">
        <x:v>2025-06</x:v>
      </x:c>
      <x:c r="B42" t="str">
        <x:v>Auckland</x:v>
      </x:c>
      <x:c r="C42" t="n">
        <x:v>1198941.15</x:v>
      </x:c>
      <x:c r="D42" t="str">
        <x:v>0.95</x:v>
      </x:c>
      <x:c r="E42" t="n">
        <x:v>395650.58</x:v>
      </x:c>
    </x:row>
    <x:row r="43">
      <x:c r="A43" t="str">
        <x:v>2025-06</x:v>
      </x:c>
      <x:c r="B43" t="str">
        <x:v>Waikato</x:v>
      </x:c>
      <x:c r="C43" t="n">
        <x:v>1288894.3</x:v>
      </x:c>
      <x:c r="D43" t="str">
        <x:v>0.95</x:v>
      </x:c>
      <x:c r="E43" t="n">
        <x:v>425335.12</x:v>
      </x:c>
    </x:row>
    <x:row r="44">
      <x:c r="A44" t="str">
        <x:v>2025-06</x:v>
      </x:c>
      <x:c r="B44" t="str">
        <x:v>Bay of Plenty</x:v>
      </x:c>
      <x:c r="C44" t="n">
        <x:v>1142677.14</x:v>
      </x:c>
      <x:c r="D44" t="str">
        <x:v>0.95</x:v>
      </x:c>
      <x:c r="E44" t="n">
        <x:v>377083.46</x:v>
      </x:c>
    </x:row>
    <x:row r="45">
      <x:c r="A45" t="str">
        <x:v>2025-06</x:v>
      </x:c>
      <x:c r="B45" t="str">
        <x:v>Wellington</x:v>
      </x:c>
      <x:c r="C45" t="n">
        <x:v>1494305.03</x:v>
      </x:c>
      <x:c r="D45" t="str">
        <x:v>0.94</x:v>
      </x:c>
      <x:c r="E45" t="n">
        <x:v>493120.66</x:v>
      </x:c>
    </x:row>
    <x:row r="46">
      <x:c r="A46" t="str">
        <x:v>2025-06</x:v>
      </x:c>
      <x:c r="B46" t="str">
        <x:v>Canterbury</x:v>
      </x:c>
      <x:c r="C46" t="n">
        <x:v>1410293.56</x:v>
      </x:c>
      <x:c r="D46" t="str">
        <x:v>0.94</x:v>
      </x:c>
      <x:c r="E46" t="n">
        <x:v>465396.87</x:v>
      </x:c>
    </x:row>
    <x:row r="47">
      <x:c r="A47" t="str">
        <x:v>2025-07</x:v>
      </x:c>
      <x:c r="B47" t="str">
        <x:v>Auckland</x:v>
      </x:c>
      <x:c r="C47" t="n">
        <x:v>1487925.09</x:v>
      </x:c>
      <x:c r="D47" t="str">
        <x:v>0.95</x:v>
      </x:c>
      <x:c r="E47" t="n">
        <x:v>491015.28</x:v>
      </x:c>
    </x:row>
    <x:row r="48">
      <x:c r="A48" t="str">
        <x:v>2025-07</x:v>
      </x:c>
      <x:c r="B48" t="str">
        <x:v>Waikato</x:v>
      </x:c>
      <x:c r="C48" t="n">
        <x:v>1253402.83</x:v>
      </x:c>
      <x:c r="D48" t="str">
        <x:v>0.95</x:v>
      </x:c>
      <x:c r="E48" t="n">
        <x:v>413622.93</x:v>
      </x:c>
    </x:row>
    <x:row r="49">
      <x:c r="A49" t="str">
        <x:v>2025-07</x:v>
      </x:c>
      <x:c r="B49" t="str">
        <x:v>Bay of Plenty</x:v>
      </x:c>
      <x:c r="C49" t="n">
        <x:v>1484906.79</x:v>
      </x:c>
      <x:c r="D49" t="str">
        <x:v>0.95</x:v>
      </x:c>
      <x:c r="E49" t="n">
        <x:v>490019.24</x:v>
      </x:c>
    </x:row>
    <x:row r="50">
      <x:c r="A50" t="str">
        <x:v>2025-07</x:v>
      </x:c>
      <x:c r="B50" t="str">
        <x:v>Wellington</x:v>
      </x:c>
      <x:c r="C50" t="n">
        <x:v>1328472.04</x:v>
      </x:c>
      <x:c r="D50" t="str">
        <x:v>0.94</x:v>
      </x:c>
      <x:c r="E50" t="n">
        <x:v>438395.77</x:v>
      </x:c>
    </x:row>
    <x:row r="51">
      <x:c r="A51" t="str">
        <x:v>2025-07</x:v>
      </x:c>
      <x:c r="B51" t="str">
        <x:v>Canterbury</x:v>
      </x:c>
      <x:c r="C51" t="n">
        <x:v>1361939.58</x:v>
      </x:c>
      <x:c r="D51" t="str">
        <x:v>0.94</x:v>
      </x:c>
      <x:c r="E51" t="n">
        <x:v>449440.06</x:v>
      </x:c>
    </x:row>
    <x:row r="52">
      <x:c r="A52" t="str">
        <x:v>2025-08</x:v>
      </x:c>
      <x:c r="B52" t="str">
        <x:v>Auckland</x:v>
      </x:c>
      <x:c r="C52" t="n">
        <x:v>1780390.74</x:v>
      </x:c>
      <x:c r="D52" t="str">
        <x:v>0.95</x:v>
      </x:c>
      <x:c r="E52" t="n">
        <x:v>587528.94</x:v>
      </x:c>
    </x:row>
    <x:row r="53">
      <x:c r="A53" t="str">
        <x:v>2025-08</x:v>
      </x:c>
      <x:c r="B53" t="str">
        <x:v>Waikato</x:v>
      </x:c>
      <x:c r="C53" t="n">
        <x:v>1476400.37</x:v>
      </x:c>
      <x:c r="D53" t="str">
        <x:v>0.95</x:v>
      </x:c>
      <x:c r="E53" t="n">
        <x:v>487212.12</x:v>
      </x:c>
    </x:row>
    <x:row r="54">
      <x:c r="A54" t="str">
        <x:v>2025-08</x:v>
      </x:c>
      <x:c r="B54" t="str">
        <x:v>Bay of Plenty</x:v>
      </x:c>
      <x:c r="C54" t="n">
        <x:v>1576656.99</x:v>
      </x:c>
      <x:c r="D54" t="str">
        <x:v>0.95</x:v>
      </x:c>
      <x:c r="E54" t="n">
        <x:v>520296.81</x:v>
      </x:c>
    </x:row>
    <x:row r="55">
      <x:c r="A55" t="str">
        <x:v>2025-08</x:v>
      </x:c>
      <x:c r="B55" t="str">
        <x:v>Wellington</x:v>
      </x:c>
      <x:c r="C55" t="n">
        <x:v>1807213.86</x:v>
      </x:c>
      <x:c r="D55" t="str">
        <x:v>0.94</x:v>
      </x:c>
      <x:c r="E55" t="n">
        <x:v>596380.57</x:v>
      </x:c>
    </x:row>
    <x:row r="56">
      <x:c r="A56" t="str">
        <x:v>2025-08</x:v>
      </x:c>
      <x:c r="B56" t="str">
        <x:v>Canterbury</x:v>
      </x:c>
      <x:c r="C56" t="n">
        <x:v>1730981.03</x:v>
      </x:c>
      <x:c r="D56" t="str">
        <x:v>0.94</x:v>
      </x:c>
      <x:c r="E56" t="n">
        <x:v>571223.74</x:v>
      </x:c>
    </x:row>
    <x:row r="57">
      <x:c r="A57" t="str">
        <x:v>2025-09</x:v>
      </x:c>
      <x:c r="B57" t="str">
        <x:v>Auckland</x:v>
      </x:c>
      <x:c r="C57" t="n">
        <x:v>1465472.95</x:v>
      </x:c>
      <x:c r="D57" t="str">
        <x:v>0.95</x:v>
      </x:c>
      <x:c r="E57" t="n">
        <x:v>483606.07</x:v>
      </x:c>
    </x:row>
    <x:row r="58">
      <x:c r="A58" t="str">
        <x:v>2025-09</x:v>
      </x:c>
      <x:c r="B58" t="str">
        <x:v>Waikato</x:v>
      </x:c>
      <x:c r="C58" t="n">
        <x:v>1726541.33</x:v>
      </x:c>
      <x:c r="D58" t="str">
        <x:v>0.95</x:v>
      </x:c>
      <x:c r="E58" t="n">
        <x:v>569758.64</x:v>
      </x:c>
    </x:row>
    <x:row r="59">
      <x:c r="A59" t="str">
        <x:v>2025-09</x:v>
      </x:c>
      <x:c r="B59" t="str">
        <x:v>Bay of Plenty</x:v>
      </x:c>
      <x:c r="C59" t="n">
        <x:v>1506545.77</x:v>
      </x:c>
      <x:c r="D59" t="str">
        <x:v>0.95</x:v>
      </x:c>
      <x:c r="E59" t="n">
        <x:v>497160.1</x:v>
      </x:c>
    </x:row>
    <x:row r="60">
      <x:c r="A60" t="str">
        <x:v>2025-09</x:v>
      </x:c>
      <x:c r="B60" t="str">
        <x:v>Wellington</x:v>
      </x:c>
      <x:c r="C60" t="n">
        <x:v>1667780.75</x:v>
      </x:c>
      <x:c r="D60" t="str">
        <x:v>0.94</x:v>
      </x:c>
      <x:c r="E60" t="n">
        <x:v>550367.65</x:v>
      </x:c>
    </x:row>
    <x:row r="61">
      <x:c r="A61" t="str">
        <x:v>2025-09</x:v>
      </x:c>
      <x:c r="B61" t="str">
        <x:v>Canterbury</x:v>
      </x:c>
      <x:c r="C61" t="n">
        <x:v>1819124.52</x:v>
      </x:c>
      <x:c r="D61" t="str">
        <x:v>0.94</x:v>
      </x:c>
      <x:c r="E61" t="n">
        <x:v>600311.09</x:v>
      </x:c>
    </x:row>
    <x:row r="62">
      <x:c r="A62" t="str">
        <x:v>2025-10</x:v>
      </x:c>
      <x:c r="B62" t="str">
        <x:v>Auckland</x:v>
      </x:c>
      <x:c r="C62" t="n">
        <x:v>1834976.58</x:v>
      </x:c>
      <x:c r="D62" t="str">
        <x:v>0.95</x:v>
      </x:c>
      <x:c r="E62" t="n">
        <x:v>605542.27</x:v>
      </x:c>
    </x:row>
    <x:row r="63">
      <x:c r="A63" t="str">
        <x:v>2025-10</x:v>
      </x:c>
      <x:c r="B63" t="str">
        <x:v>Waikato</x:v>
      </x:c>
      <x:c r="C63" t="n">
        <x:v>1764251.34</x:v>
      </x:c>
      <x:c r="D63" t="str">
        <x:v>0.95</x:v>
      </x:c>
      <x:c r="E63" t="n">
        <x:v>582202.94</x:v>
      </x:c>
    </x:row>
    <x:row r="64">
      <x:c r="A64" t="str">
        <x:v>2025-10</x:v>
      </x:c>
      <x:c r="B64" t="str">
        <x:v>Bay of Plenty</x:v>
      </x:c>
      <x:c r="C64" t="n">
        <x:v>1807639.95</x:v>
      </x:c>
      <x:c r="D64" t="str">
        <x:v>0.95</x:v>
      </x:c>
      <x:c r="E64" t="n">
        <x:v>596521.18</x:v>
      </x:c>
    </x:row>
    <x:row r="65">
      <x:c r="A65" t="str">
        <x:v>2025-10</x:v>
      </x:c>
      <x:c r="B65" t="str">
        <x:v>Wellington</x:v>
      </x:c>
      <x:c r="C65" t="n">
        <x:v>1713345.64</x:v>
      </x:c>
      <x:c r="D65" t="str">
        <x:v>0.94</x:v>
      </x:c>
      <x:c r="E65" t="n">
        <x:v>565404.06</x:v>
      </x:c>
    </x:row>
    <x:row r="66">
      <x:c r="A66" t="str">
        <x:v>2025-10</x:v>
      </x:c>
      <x:c r="B66" t="str">
        <x:v>Canterbury</x:v>
      </x:c>
      <x:c r="C66" t="n">
        <x:v>1738862.38</x:v>
      </x:c>
      <x:c r="D66" t="str">
        <x:v>0.94</x:v>
      </x:c>
      <x:c r="E66" t="n">
        <x:v>573824.59</x:v>
      </x:c>
    </x:row>
    <x:row r="67">
      <x:c r="A67" t="str">
        <x:v>2025-11</x:v>
      </x:c>
      <x:c r="B67" t="str">
        <x:v>Auckland</x:v>
      </x:c>
      <x:c r="C67" t="n">
        <x:v>1820483.84</x:v>
      </x:c>
      <x:c r="D67" t="str">
        <x:v>0.95</x:v>
      </x:c>
      <x:c r="E67" t="n">
        <x:v>600759.67</x:v>
      </x:c>
    </x:row>
    <x:row r="68">
      <x:c r="A68" t="str">
        <x:v>2025-11</x:v>
      </x:c>
      <x:c r="B68" t="str">
        <x:v>Waikato</x:v>
      </x:c>
      <x:c r="C68" t="n">
        <x:v>2147166.31</x:v>
      </x:c>
      <x:c r="D68" t="str">
        <x:v>0.95</x:v>
      </x:c>
      <x:c r="E68" t="n">
        <x:v>708564.88</x:v>
      </x:c>
    </x:row>
    <x:row r="69">
      <x:c r="A69" t="str">
        <x:v>2025-11</x:v>
      </x:c>
      <x:c r="B69" t="str">
        <x:v>Bay of Plenty</x:v>
      </x:c>
      <x:c r="C69" t="n">
        <x:v>2092873.95</x:v>
      </x:c>
      <x:c r="D69" t="str">
        <x:v>0.95</x:v>
      </x:c>
      <x:c r="E69" t="n">
        <x:v>690648.4</x:v>
      </x:c>
    </x:row>
    <x:row r="70">
      <x:c r="A70" t="str">
        <x:v>2025-11</x:v>
      </x:c>
      <x:c r="B70" t="str">
        <x:v>Wellington</x:v>
      </x:c>
      <x:c r="C70" t="n">
        <x:v>2106987.7</x:v>
      </x:c>
      <x:c r="D70" t="str">
        <x:v>0.94</x:v>
      </x:c>
      <x:c r="E70" t="n">
        <x:v>695305.94</x:v>
      </x:c>
    </x:row>
    <x:row r="71">
      <x:c r="A71" t="str">
        <x:v>2025-11</x:v>
      </x:c>
      <x:c r="B71" t="str">
        <x:v>Canterbury</x:v>
      </x:c>
      <x:c r="C71" t="n">
        <x:v>2006164.34</x:v>
      </x:c>
      <x:c r="D71" t="str">
        <x:v>0.94</x:v>
      </x:c>
      <x:c r="E71" t="n">
        <x:v>662034.23</x:v>
      </x:c>
    </x:row>
    <x:row r="72">
      <x:c r="A72" t="str">
        <x:v>2025-12</x:v>
      </x:c>
      <x:c r="B72" t="str">
        <x:v>Auckland</x:v>
      </x:c>
      <x:c r="C72" t="n">
        <x:v>2205965.89</x:v>
      </x:c>
      <x:c r="D72" t="str">
        <x:v>0.95</x:v>
      </x:c>
      <x:c r="E72" t="n">
        <x:v>727968.74</x:v>
      </x:c>
    </x:row>
    <x:row r="73">
      <x:c r="A73" t="str">
        <x:v>2025-12</x:v>
      </x:c>
      <x:c r="B73" t="str">
        <x:v>Waikato</x:v>
      </x:c>
      <x:c r="C73" t="n">
        <x:v>2194817.6</x:v>
      </x:c>
      <x:c r="D73" t="str">
        <x:v>0.95</x:v>
      </x:c>
      <x:c r="E73" t="n">
        <x:v>724289.81</x:v>
      </x:c>
    </x:row>
    <x:row r="74">
      <x:c r="A74" t="str">
        <x:v>2025-12</x:v>
      </x:c>
      <x:c r="B74" t="str">
        <x:v>Bay of Plenty</x:v>
      </x:c>
      <x:c r="C74" t="n">
        <x:v>2642604.15</x:v>
      </x:c>
      <x:c r="D74" t="str">
        <x:v>0.95</x:v>
      </x:c>
      <x:c r="E74" t="n">
        <x:v>872059.37</x:v>
      </x:c>
    </x:row>
    <x:row r="75">
      <x:c r="A75" t="str">
        <x:v>2025-12</x:v>
      </x:c>
      <x:c r="B75" t="str">
        <x:v>Wellington</x:v>
      </x:c>
      <x:c r="C75" t="n">
        <x:v>1923992.94</x:v>
      </x:c>
      <x:c r="D75" t="str">
        <x:v>0.94</x:v>
      </x:c>
      <x:c r="E75" t="n">
        <x:v>634917.67</x:v>
      </x:c>
    </x:row>
    <x:row r="76">
      <x:c r="A76" t="str">
        <x:v>2025-12</x:v>
      </x:c>
      <x:c r="B76" t="str">
        <x:v>Canterbury</x:v>
      </x:c>
      <x:c r="C76" t="n">
        <x:v>2380689.1</x:v>
      </x:c>
      <x:c r="D76" t="str">
        <x:v>0.94</x:v>
      </x:c>
      <x:c r="E76" t="n">
        <x:v>785627.4</x:v>
      </x:c>
    </x:row>
    <x:row r="77">
      <x:c r="A77" t="str">
        <x:v>2026-01</x:v>
      </x:c>
      <x:c r="B77" t="str">
        <x:v>Auckland</x:v>
      </x:c>
      <x:c r="C77" t="n">
        <x:v>1568924.4</x:v>
      </x:c>
      <x:c r="D77" t="str">
        <x:v>0.95</x:v>
      </x:c>
      <x:c r="E77" t="n">
        <x:v>517745.05</x:v>
      </x:c>
    </x:row>
    <x:row r="78">
      <x:c r="A78" t="str">
        <x:v>2026-01</x:v>
      </x:c>
      <x:c r="B78" t="str">
        <x:v>Waikato</x:v>
      </x:c>
      <x:c r="C78" t="n">
        <x:v>1764954.23</x:v>
      </x:c>
      <x:c r="D78" t="str">
        <x:v>0.95</x:v>
      </x:c>
      <x:c r="E78" t="n">
        <x:v>582434.9</x:v>
      </x:c>
    </x:row>
    <x:row r="79">
      <x:c r="A79" t="str">
        <x:v>2026-01</x:v>
      </x:c>
      <x:c r="B79" t="str">
        <x:v>Bay of Plenty</x:v>
      </x:c>
      <x:c r="C79" t="n">
        <x:v>1979874.22</x:v>
      </x:c>
      <x:c r="D79" t="str">
        <x:v>0.95</x:v>
      </x:c>
      <x:c r="E79" t="n">
        <x:v>653358.49</x:v>
      </x:c>
    </x:row>
    <x:row r="80">
      <x:c r="A80" t="str">
        <x:v>2026-01</x:v>
      </x:c>
      <x:c r="B80" t="str">
        <x:v>Wellington</x:v>
      </x:c>
      <x:c r="C80" t="n">
        <x:v>1690349.28</x:v>
      </x:c>
      <x:c r="D80" t="str">
        <x:v>0.94</x:v>
      </x:c>
      <x:c r="E80" t="n">
        <x:v>557815.26</x:v>
      </x:c>
    </x:row>
    <x:row r="81">
      <x:c r="A81" t="str">
        <x:v>2026-01</x:v>
      </x:c>
      <x:c r="B81" t="str">
        <x:v>Canterbury</x:v>
      </x:c>
      <x:c r="C81" t="n">
        <x:v>1243978.11</x:v>
      </x:c>
      <x:c r="D81" t="str">
        <x:v>0.94</x:v>
      </x:c>
      <x:c r="E81" t="n">
        <x:v>410512.78</x:v>
      </x:c>
    </x:row>
    <x:row r="82">
      <x:c r="A82" t="str">
        <x:v>2026-02</x:v>
      </x:c>
      <x:c r="B82" t="str">
        <x:v>Auckland</x:v>
      </x:c>
      <x:c r="C82" t="n">
        <x:v>1567952.03</x:v>
      </x:c>
      <x:c r="D82" t="str">
        <x:v>0.95</x:v>
      </x:c>
      <x:c r="E82" t="n">
        <x:v>517424.17</x:v>
      </x:c>
    </x:row>
    <x:row r="83">
      <x:c r="A83" t="str">
        <x:v>2026-02</x:v>
      </x:c>
      <x:c r="B83" t="str">
        <x:v>Waikato</x:v>
      </x:c>
      <x:c r="C83" t="n">
        <x:v>1367553.61</x:v>
      </x:c>
      <x:c r="D83" t="str">
        <x:v>0.95</x:v>
      </x:c>
      <x:c r="E83" t="n">
        <x:v>451292.69</x:v>
      </x:c>
    </x:row>
    <x:row r="84">
      <x:c r="A84" t="str">
        <x:v>2026-02</x:v>
      </x:c>
      <x:c r="B84" t="str">
        <x:v>Bay of Plenty</x:v>
      </x:c>
      <x:c r="C84" t="n">
        <x:v>1387830.17</x:v>
      </x:c>
      <x:c r="D84" t="str">
        <x:v>0.95</x:v>
      </x:c>
      <x:c r="E84" t="n">
        <x:v>457983.96</x:v>
      </x:c>
    </x:row>
    <x:row r="85">
      <x:c r="A85" t="str">
        <x:v>2026-02</x:v>
      </x:c>
      <x:c r="B85" t="str">
        <x:v>Wellington</x:v>
      </x:c>
      <x:c r="C85" t="n">
        <x:v>1397770.98</x:v>
      </x:c>
      <x:c r="D85" t="str">
        <x:v>0.94</x:v>
      </x:c>
      <x:c r="E85" t="n">
        <x:v>461264.42</x:v>
      </x:c>
    </x:row>
    <x:row r="86">
      <x:c r="A86" t="str">
        <x:v>2026-02</x:v>
      </x:c>
      <x:c r="B86" t="str">
        <x:v>Canterbury</x:v>
      </x:c>
      <x:c r="C86" t="n">
        <x:v>1589116.26</x:v>
      </x:c>
      <x:c r="D86" t="str">
        <x:v>0.94</x:v>
      </x:c>
      <x:c r="E86" t="n">
        <x:v>524408.37</x:v>
      </x:c>
    </x:row>
    <x:row r="87">
      <x:c r="A87" t="str">
        <x:v>2026-03</x:v>
      </x:c>
      <x:c r="B87" t="str">
        <x:v>Auckland</x:v>
      </x:c>
      <x:c r="C87" t="n">
        <x:v>1762558.62</x:v>
      </x:c>
      <x:c r="D87" t="str">
        <x:v>0.95</x:v>
      </x:c>
      <x:c r="E87" t="n">
        <x:v>581644.34</x:v>
      </x:c>
    </x:row>
    <x:row r="88">
      <x:c r="A88" t="str">
        <x:v>2026-03</x:v>
      </x:c>
      <x:c r="B88" t="str">
        <x:v>Waikato</x:v>
      </x:c>
      <x:c r="C88" t="n">
        <x:v>1618282.23</x:v>
      </x:c>
      <x:c r="D88" t="str">
        <x:v>0.95</x:v>
      </x:c>
      <x:c r="E88" t="n">
        <x:v>534033.14</x:v>
      </x:c>
    </x:row>
    <x:row r="89">
      <x:c r="A89" t="str">
        <x:v>2026-03</x:v>
      </x:c>
      <x:c r="B89" t="str">
        <x:v>Bay of Plenty</x:v>
      </x:c>
      <x:c r="C89" t="n">
        <x:v>1743436.16</x:v>
      </x:c>
      <x:c r="D89" t="str">
        <x:v>0.95</x:v>
      </x:c>
      <x:c r="E89" t="n">
        <x:v>575333.93</x:v>
      </x:c>
    </x:row>
    <x:row r="90">
      <x:c r="A90" t="str">
        <x:v>2026-03</x:v>
      </x:c>
      <x:c r="B90" t="str">
        <x:v>Wellington</x:v>
      </x:c>
      <x:c r="C90" t="n">
        <x:v>2062666.79</x:v>
      </x:c>
      <x:c r="D90" t="str">
        <x:v>0.94</x:v>
      </x:c>
      <x:c r="E90" t="n">
        <x:v>680680.04</x:v>
      </x:c>
    </x:row>
    <x:row r="91">
      <x:c r="A91" t="str">
        <x:v>2026-03</x:v>
      </x:c>
      <x:c r="B91" t="str">
        <x:v>Canterbury</x:v>
      </x:c>
      <x:c r="C91" t="n">
        <x:v>1708236.09</x:v>
      </x:c>
      <x:c r="D91" t="str">
        <x:v>0.94</x:v>
      </x:c>
      <x:c r="E91" t="n">
        <x:v>563717.91</x:v>
      </x:c>
    </x:row>
    <x:row r="92">
      <x:c r="A92" t="str">
        <x:v>2026-04</x:v>
      </x:c>
      <x:c r="B92" t="str">
        <x:v>Auckland</x:v>
      </x:c>
      <x:c r="C92" t="n">
        <x:v>1597790.78</x:v>
      </x:c>
      <x:c r="D92" t="str">
        <x:v>0.95</x:v>
      </x:c>
      <x:c r="E92" t="n">
        <x:v>527270.96</x:v>
      </x:c>
    </x:row>
    <x:row r="93">
      <x:c r="A93" t="str">
        <x:v>2026-04</x:v>
      </x:c>
      <x:c r="B93" t="str">
        <x:v>Waikato</x:v>
      </x:c>
      <x:c r="C93" t="n">
        <x:v>1609925.09</x:v>
      </x:c>
      <x:c r="D93" t="str">
        <x:v>0.95</x:v>
      </x:c>
      <x:c r="E93" t="n">
        <x:v>531275.28</x:v>
      </x:c>
    </x:row>
    <x:row r="94">
      <x:c r="A94" t="str">
        <x:v>2026-04</x:v>
      </x:c>
      <x:c r="B94" t="str">
        <x:v>Bay of Plenty</x:v>
      </x:c>
      <x:c r="C94" t="n">
        <x:v>1395593.82</x:v>
      </x:c>
      <x:c r="D94" t="str">
        <x:v>0.95</x:v>
      </x:c>
      <x:c r="E94" t="n">
        <x:v>460545.96</x:v>
      </x:c>
    </x:row>
    <x:row r="95">
      <x:c r="A95" t="str">
        <x:v>2026-04</x:v>
      </x:c>
      <x:c r="B95" t="str">
        <x:v>Wellington</x:v>
      </x:c>
      <x:c r="C95" t="n">
        <x:v>1710595.48</x:v>
      </x:c>
      <x:c r="D95" t="str">
        <x:v>0.94</x:v>
      </x:c>
      <x:c r="E95" t="n">
        <x:v>564496.51</x:v>
      </x:c>
    </x:row>
    <x:row r="96">
      <x:c r="A96" t="str">
        <x:v>2026-04</x:v>
      </x:c>
      <x:c r="B96" t="str">
        <x:v>Canterbury</x:v>
      </x:c>
      <x:c r="C96" t="n">
        <x:v>1667383.09</x:v>
      </x:c>
      <x:c r="D96" t="str">
        <x:v>0.94</x:v>
      </x:c>
      <x:c r="E96" t="n">
        <x:v>550236.42</x:v>
      </x:c>
    </x:row>
    <x:row r="97">
      <x:c r="A97" t="str">
        <x:v>2026-05</x:v>
      </x:c>
      <x:c r="B97" t="str">
        <x:v>Auckland</x:v>
      </x:c>
      <x:c r="C97" t="n">
        <x:v>1654955.54</x:v>
      </x:c>
      <x:c r="D97" t="str">
        <x:v>0.95</x:v>
      </x:c>
      <x:c r="E97" t="n">
        <x:v>546135.33</x:v>
      </x:c>
    </x:row>
    <x:row r="98">
      <x:c r="A98" t="str">
        <x:v>2026-05</x:v>
      </x:c>
      <x:c r="B98" t="str">
        <x:v>Waikato</x:v>
      </x:c>
      <x:c r="C98" t="n">
        <x:v>1522977.84</x:v>
      </x:c>
      <x:c r="D98" t="str">
        <x:v>0.95</x:v>
      </x:c>
      <x:c r="E98" t="n">
        <x:v>502582.69</x:v>
      </x:c>
    </x:row>
    <x:row r="99">
      <x:c r="A99" t="str">
        <x:v>2026-05</x:v>
      </x:c>
      <x:c r="B99" t="str">
        <x:v>Bay of Plenty</x:v>
      </x:c>
      <x:c r="C99" t="n">
        <x:v>1882006.86</x:v>
      </x:c>
      <x:c r="D99" t="str">
        <x:v>0.95</x:v>
      </x:c>
      <x:c r="E99" t="n">
        <x:v>621062.26</x:v>
      </x:c>
    </x:row>
    <x:row r="100">
      <x:c r="A100" t="str">
        <x:v>2026-05</x:v>
      </x:c>
      <x:c r="B100" t="str">
        <x:v>Wellington</x:v>
      </x:c>
      <x:c r="C100" t="n">
        <x:v>1876215.85</x:v>
      </x:c>
      <x:c r="D100" t="str">
        <x:v>0.94</x:v>
      </x:c>
      <x:c r="E100" t="n">
        <x:v>619151.23</x:v>
      </x:c>
    </x:row>
    <x:row r="101">
      <x:c r="A101" t="str">
        <x:v>2026-05</x:v>
      </x:c>
      <x:c r="B101" t="str">
        <x:v>Canterbury</x:v>
      </x:c>
      <x:c r="C101" t="n">
        <x:v>1530514.14</x:v>
      </x:c>
      <x:c r="D101" t="str">
        <x:v>0.94</x:v>
      </x:c>
      <x:c r="E101" t="n">
        <x:v>505069.67</x:v>
      </x:c>
    </x:row>
    <x:row r="102">
      <x:c r="A102" t="str">
        <x:v>2026-06</x:v>
      </x:c>
      <x:c r="B102" t="str">
        <x:v>Auckland</x:v>
      </x:c>
      <x:c r="C102" t="n">
        <x:v>1335170.45</x:v>
      </x:c>
      <x:c r="D102" t="str">
        <x:v>0.95</x:v>
      </x:c>
      <x:c r="E102" t="n">
        <x:v>440606.25</x:v>
      </x:c>
    </x:row>
    <x:row r="103">
      <x:c r="A103" t="str">
        <x:v>2026-06</x:v>
      </x:c>
      <x:c r="B103" t="str">
        <x:v>Waikato</x:v>
      </x:c>
      <x:c r="C103" t="n">
        <x:v>1274169.44</x:v>
      </x:c>
      <x:c r="D103" t="str">
        <x:v>0.95</x:v>
      </x:c>
      <x:c r="E103" t="n">
        <x:v>420475.92</x:v>
      </x:c>
    </x:row>
    <x:row r="104">
      <x:c r="A104" t="str">
        <x:v>2026-06</x:v>
      </x:c>
      <x:c r="B104" t="str">
        <x:v>Bay of Plenty</x:v>
      </x:c>
      <x:c r="C104" t="n">
        <x:v>1148002.32</x:v>
      </x:c>
      <x:c r="D104" t="str">
        <x:v>0.95</x:v>
      </x:c>
      <x:c r="E104" t="n">
        <x:v>378840.77</x:v>
      </x:c>
    </x:row>
    <x:row r="105">
      <x:c r="A105" t="str">
        <x:v>2026-06</x:v>
      </x:c>
      <x:c r="B105" t="str">
        <x:v>Wellington</x:v>
      </x:c>
      <x:c r="C105" t="n">
        <x:v>1280479.11</x:v>
      </x:c>
      <x:c r="D105" t="str">
        <x:v>0.94</x:v>
      </x:c>
      <x:c r="E105" t="n">
        <x:v>422558.11</x:v>
      </x:c>
    </x:row>
    <x:row r="106">
      <x:c r="A106" t="str">
        <x:v>2026-06</x:v>
      </x:c>
      <x:c r="B106" t="str">
        <x:v>Canterbury</x:v>
      </x:c>
      <x:c r="C106" t="n">
        <x:v>1160909.6</x:v>
      </x:c>
      <x:c r="D106" t="str">
        <x:v>0.94</x:v>
      </x:c>
      <x:c r="E106" t="n">
        <x:v>383100.17</x:v>
      </x:c>
    </x:row>
    <x:row r="107">
      <x:c r="A107" t="str">
        <x:v>2026-07</x:v>
      </x:c>
      <x:c r="B107" t="str">
        <x:v>Auckland</x:v>
      </x:c>
      <x:c r="C107" t="n">
        <x:v>1429293.51</x:v>
      </x:c>
      <x:c r="D107" t="str">
        <x:v>0.95</x:v>
      </x:c>
      <x:c r="E107" t="n">
        <x:v>471666.86</x:v>
      </x:c>
    </x:row>
    <x:row r="108">
      <x:c r="A108" t="str">
        <x:v>2026-07</x:v>
      </x:c>
      <x:c r="B108" t="str">
        <x:v>Waikato</x:v>
      </x:c>
      <x:c r="C108" t="n">
        <x:v>1168632.62</x:v>
      </x:c>
      <x:c r="D108" t="str">
        <x:v>0.95</x:v>
      </x:c>
      <x:c r="E108" t="n">
        <x:v>385648.76</x:v>
      </x:c>
    </x:row>
    <x:row r="109">
      <x:c r="A109" t="str">
        <x:v>2026-07</x:v>
      </x:c>
      <x:c r="B109" t="str">
        <x:v>Bay of Plenty</x:v>
      </x:c>
      <x:c r="C109" t="n">
        <x:v>1297124.97</x:v>
      </x:c>
      <x:c r="D109" t="str">
        <x:v>0.95</x:v>
      </x:c>
      <x:c r="E109" t="n">
        <x:v>428051.24</x:v>
      </x:c>
    </x:row>
    <x:row r="110">
      <x:c r="A110" t="str">
        <x:v>2026-07</x:v>
      </x:c>
      <x:c r="B110" t="str">
        <x:v>Wellington</x:v>
      </x:c>
      <x:c r="C110" t="n">
        <x:v>1469457.58</x:v>
      </x:c>
      <x:c r="D110" t="str">
        <x:v>0.94</x:v>
      </x:c>
      <x:c r="E110" t="n">
        <x:v>484921</x:v>
      </x:c>
    </x:row>
    <x:row r="111">
      <x:c r="A111" t="str">
        <x:v>2026-07</x:v>
      </x:c>
      <x:c r="B111" t="str">
        <x:v>Canterbury</x:v>
      </x:c>
      <x:c r="C111" t="n">
        <x:v>1482918.84</x:v>
      </x:c>
      <x:c r="D111" t="str">
        <x:v>0.94</x:v>
      </x:c>
      <x:c r="E111" t="n">
        <x:v>489363.22</x:v>
      </x:c>
    </x:row>
    <x:row r="112">
      <x:c r="A112" t="str">
        <x:v>2026-08</x:v>
      </x:c>
      <x:c r="B112" t="str">
        <x:v>Auckland</x:v>
      </x:c>
      <x:c r="C112" t="n">
        <x:v>1648488.29</x:v>
      </x:c>
      <x:c r="D112" t="str">
        <x:v>0.95</x:v>
      </x:c>
      <x:c r="E112" t="n">
        <x:v>544001.14</x:v>
      </x:c>
    </x:row>
    <x:row r="113">
      <x:c r="A113" t="str">
        <x:v>2026-08</x:v>
      </x:c>
      <x:c r="B113" t="str">
        <x:v>Waikato</x:v>
      </x:c>
      <x:c r="C113" t="n">
        <x:v>1535326.01</x:v>
      </x:c>
      <x:c r="D113" t="str">
        <x:v>0.95</x:v>
      </x:c>
      <x:c r="E113" t="n">
        <x:v>506657.58</x:v>
      </x:c>
    </x:row>
    <x:row r="114">
      <x:c r="A114" t="str">
        <x:v>2026-08</x:v>
      </x:c>
      <x:c r="B114" t="str">
        <x:v>Bay of Plenty</x:v>
      </x:c>
      <x:c r="C114" t="n">
        <x:v>1627603.99</x:v>
      </x:c>
      <x:c r="D114" t="str">
        <x:v>0.95</x:v>
      </x:c>
      <x:c r="E114" t="n">
        <x:v>537109.32</x:v>
      </x:c>
    </x:row>
    <x:row r="115">
      <x:c r="A115" t="str">
        <x:v>2026-08</x:v>
      </x:c>
      <x:c r="B115" t="str">
        <x:v>Wellington</x:v>
      </x:c>
      <x:c r="C115" t="n">
        <x:v>1937844.52</x:v>
      </x:c>
      <x:c r="D115" t="str">
        <x:v>0.94</x:v>
      </x:c>
      <x:c r="E115" t="n">
        <x:v>639488.69</x:v>
      </x:c>
    </x:row>
    <x:row r="116">
      <x:c r="A116" t="str">
        <x:v>2026-08</x:v>
      </x:c>
      <x:c r="B116" t="str">
        <x:v>Canterbury</x:v>
      </x:c>
      <x:c r="C116" t="n">
        <x:v>1740721.5</x:v>
      </x:c>
      <x:c r="D116" t="str">
        <x:v>0.94</x:v>
      </x:c>
      <x:c r="E116" t="n">
        <x:v>574438.09</x:v>
      </x:c>
    </x:row>
    <x:row r="117">
      <x:c r="A117" t="str">
        <x:v>2026-09</x:v>
      </x:c>
      <x:c r="B117" t="str">
        <x:v>Auckland</x:v>
      </x:c>
      <x:c r="C117" t="n">
        <x:v>1398497.49</x:v>
      </x:c>
      <x:c r="D117" t="str">
        <x:v>0.95</x:v>
      </x:c>
      <x:c r="E117" t="n">
        <x:v>461504.17</x:v>
      </x:c>
    </x:row>
    <x:row r="118">
      <x:c r="A118" t="str">
        <x:v>2026-09</x:v>
      </x:c>
      <x:c r="B118" t="str">
        <x:v>Waikato</x:v>
      </x:c>
      <x:c r="C118" t="n">
        <x:v>1540501.17</x:v>
      </x:c>
      <x:c r="D118" t="str">
        <x:v>0.95</x:v>
      </x:c>
      <x:c r="E118" t="n">
        <x:v>508365.39</x:v>
      </x:c>
    </x:row>
    <x:row r="119">
      <x:c r="A119" t="str">
        <x:v>2026-09</x:v>
      </x:c>
      <x:c r="B119" t="str">
        <x:v>Bay of Plenty</x:v>
      </x:c>
      <x:c r="C119" t="n">
        <x:v>1162898.1</x:v>
      </x:c>
      <x:c r="D119" t="str">
        <x:v>0.95</x:v>
      </x:c>
      <x:c r="E119" t="n">
        <x:v>383756.37</x:v>
      </x:c>
    </x:row>
    <x:row r="120">
      <x:c r="A120" t="str">
        <x:v>2026-09</x:v>
      </x:c>
      <x:c r="B120" t="str">
        <x:v>Wellington</x:v>
      </x:c>
      <x:c r="C120" t="n">
        <x:v>1506841.81</x:v>
      </x:c>
      <x:c r="D120" t="str">
        <x:v>0.94</x:v>
      </x:c>
      <x:c r="E120" t="n">
        <x:v>497257.8</x:v>
      </x:c>
    </x:row>
    <x:row r="121">
      <x:c r="A121" t="str">
        <x:v>2026-09</x:v>
      </x:c>
      <x:c r="B121" t="str">
        <x:v>Canterbury</x:v>
      </x:c>
      <x:c r="C121" t="n">
        <x:v>1292398.04</x:v>
      </x:c>
      <x:c r="D121" t="str">
        <x:v>0.94</x:v>
      </x:c>
      <x:c r="E121" t="n">
        <x:v>426491.35</x:v>
      </x:c>
    </x:row>
  </x:sheetData>
  <x:pageMargins left="0.7" right="0.7" top="0.75" bottom="0.75" header="0.3" footer="0.3"/>
  <x:tableParts count="1">
    <x:tablePart xmlns:r="http://schemas.openxmlformats.org/officeDocument/2006/relationships" r:id="R14befda2109c4aa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7" customHeight="1">
      <x:c r="A1" s="18" t="str">
        <x:v>EXECUTIVE SCORECARD | TWO-YEAR DISTRIBUTION OPERATIONS</x:v>
      </x:c>
      <x:c r="B1" s="18"/>
      <x:c r="C1" s="18"/>
      <x:c r="D1" s="18"/>
      <x:c r="E1" s="18"/>
      <x:c r="F1" s="18"/>
      <x:c r="G1" s="18"/>
      <x:c r="H1" s="18"/>
    </x:row>
    <x:row r="2" ht="27" customHeight="1">
      <x:c r="A2" s="18"/>
      <x:c r="B2" s="18"/>
      <x:c r="C2" s="18"/>
      <x:c r="D2" s="18"/>
      <x:c r="E2" s="18"/>
      <x:c r="F2" s="18"/>
      <x:c r="G2" s="18"/>
      <x:c r="H2" s="18"/>
    </x:row>
    <x:row r="4" ht="23" customHeight="1">
      <x:c r="A4" s="11" t="str">
        <x:v>CORE KPI</x:v>
      </x:c>
      <x:c r="B4" s="11" t="str">
        <x:v>VALUE</x:v>
      </x:c>
    </x:row>
    <x:row r="5">
      <x:c r="A5" s="20" t="str">
        <x:v>Net sales (NZD)</x:v>
      </x:c>
      <x:c r="B5" s="24" t="n">
        <x:f>SUM(Monthly_Summary!B2:B25)</x:f>
        <x:v>198621923.48000005</x:v>
      </x:c>
    </x:row>
    <x:row r="6">
      <x:c r="A6" s="20" t="str">
        <x:v>Gross profit (NZD)</x:v>
      </x:c>
      <x:c r="B6" s="24" t="n">
        <x:f>SUM(Monthly_Summary!C2:C25)</x:f>
        <x:v>53843788.85</x:v>
      </x:c>
    </x:row>
    <x:row r="7">
      <x:c r="A7" s="20" t="str">
        <x:v>Gross profit margin</x:v>
      </x:c>
      <x:c r="B7" s="22" t="n">
        <x:f>IFERROR(B6/B5,0)</x:f>
        <x:v>0.2710868362697219</x:v>
      </x:c>
    </x:row>
    <x:row r="8">
      <x:c r="A8" s="20" t="str">
        <x:v>Latest inventory (NZD)</x:v>
      </x:c>
      <x:c r="B8" s="24" t="n">
        <x:f>INDEX(Monthly_Summary!J2:J25,ROWS(Monthly_Summary!J2:J25))</x:f>
        <x:v>108194990.59</x:v>
      </x:c>
    </x:row>
    <x:row r="9">
      <x:c r="A9" s="20" t="str">
        <x:v>Annualised inventory turnover</x:v>
      </x:c>
      <x:c r="B9" s="26" t="n">
        <x:f>IFERROR(SUM(Monthly_Summary!D2:D25)/2/AVERAGE(Monthly_Summary!J2:J25),0)</x:f>
        <x:v>0.979899895094764</x:v>
      </x:c>
    </x:row>
    <x:row r="10">
      <x:c r="A10" s="20" t="str">
        <x:v>Days inventory outstanding (days)</x:v>
      </x:c>
      <x:c r="B10" s="26" t="n">
        <x:f>IFERROR(365/B9,0)</x:f>
        <x:v>372.4870283455859</x:v>
      </x:c>
    </x:row>
    <x:row r="11">
      <x:c r="A11" s="20" t="str">
        <x:v>OTIF (delivered orders)</x:v>
      </x:c>
      <x:c r="B11" s="22" t="n">
        <x:f>IFERROR(SUM(Monthly_Summary!G2:G25)/SUM(Monthly_Summary!F2:F25),0)</x:f>
        <x:v>0.6574805763994953</x:v>
      </x:c>
    </x:row>
    <x:row r="12">
      <x:c r="A12" s="20" t="str">
        <x:v>Stockout: monthly stock points</x:v>
      </x:c>
      <x:c r="B12" s="22" t="n">
        <x:f>IFERROR(SUM(Monthly_Summary!K2:K25)/SUM(Monthly_Summary!L2:L25),0)</x:f>
        <x:v>0.0850173611111111</x:v>
      </x:c>
    </x:row>
    <x:row r="13">
      <x:c r="A13" s="20" t="str">
        <x:v>Backordered units</x:v>
      </x:c>
      <x:c r="B13" s="28" t="n">
        <x:f>SUM(Monthly_Summary!I2:I25)</x:f>
        <x:v>380813</x:v>
      </x:c>
    </x:row>
    <x:row r="14">
      <x:c r="A14" s="20" t="str">
        <x:v>Freight cost (NZD)</x:v>
      </x:c>
      <x:c r="B14" s="24" t="n">
        <x:f>SUM(Monthly_Summary!M2:M25)</x:f>
        <x:v>9323807.999999998</x:v>
      </x:c>
    </x:row>
    <x:row r="15">
      <x:c r="A15" s="20" t="str">
        <x:v>Warehouse units/labour hour</x:v>
      </x:c>
      <x:c r="B15" s="26" t="n">
        <x:f>IFERROR(SUM(Warehouse_Summary!C2:C6)/SUM(Warehouse_Summary!D2:D6),0)</x:f>
        <x:v>30.315137137741573</x:v>
      </x:c>
    </x:row>
    <x:row r="16">
      <x:c r="A16" s="20" t="str">
        <x:v>Physical inventory accuracy</x:v>
      </x:c>
      <x:c r="B16" s="22" t="n">
        <x:f>IFERROR(SUM(Warehouse_Summary!H2:H6)/SUM(Warehouse_Summary!G2:G6),0)</x:f>
        <x:v>0.9052837573385518</x:v>
      </x:c>
    </x:row>
    <x:row r="17">
      <x:c r="A17" s="20" t="str">
        <x:v>Supplier actual lead time (days)</x:v>
      </x:c>
      <x:c r="B17" s="26" t="n">
        <x:f>IFERROR(SUMPRODUCT(Supplier_Summary!E2:E65,Supplier_Summary!D2:D65)/SUM(Supplier_Summary!D2:D65),0)</x:f>
        <x:v>20.25846978297162</x:v>
      </x:c>
    </x:row>
    <x:row r="18">
      <x:c r="A18" s="20" t="str">
        <x:v>Supplier on-time receipt rate</x:v>
      </x:c>
      <x:c r="B18" s="22" t="n">
        <x:f>IFERROR(SUMPRODUCT(Supplier_Summary!F2:F65,Supplier_Summary!D2:D65)/SUM(Supplier_Summary!D2:D65)/100,0)</x:f>
        <x:v>0.646974457429048</x:v>
      </x:c>
    </x:row>
    <x:row r="19">
      <x:c r="A19" s="20" t="str">
        <x:v>Fill rate (ordered units)</x:v>
      </x:c>
      <x:c r="B19" s="22" t="n">
        <x:f>IFERROR(SUM(Monthly_Summary!H2:H25)/(SUM(Monthly_Summary!H2:H25)+SUM(Monthly_Summary!I2:I25)),0)</x:f>
        <x:v>0.8330904432200348</x:v>
      </x:c>
    </x:row>
    <x:row r="20">
      <x:c r="A20" s="20" t="str">
        <x:v>Cost per shipped order (NZD)</x:v>
      </x:c>
      <x:c r="B20" s="24" t="n">
        <x:f>IFERROR(SUM(Carrier_Summary!E2:E6)/SUM(Carrier_Summary!C2:C6),0)</x:f>
        <x:v>154.2706244415765</x:v>
      </x:c>
    </x:row>
    <x:row r="22">
      <x:c r="A22" s="11" t="str">
        <x:v>Important definitions</x:v>
      </x:c>
      <x:c r="B22" s="11" t="str"/>
    </x:row>
    <x:row r="23">
      <x:c r="A23" t="str">
        <x:v>OTIF denominator</x:v>
      </x:c>
      <x:c r="B23" t="str">
        <x:v>Delivered/partially delivered, excluding in-transit/open</x:v>
      </x:c>
    </x:row>
    <x:row r="24">
      <x:c r="A24" t="str">
        <x:v>Inventory turn</x:v>
      </x:c>
      <x:c r="B24" t="str">
        <x:v>Annualised: 2-year COGS/2 divided by 24 monthly closing values</x:v>
      </x:c>
    </x:row>
    <x:row r="25">
      <x:c r="A25" t="str">
        <x:v>Ageing method</x:v>
      </x:c>
      <x:c r="B25" t="str">
        <x:v>Days since last SKU/warehouse movement; not FIFO lot age</x:v>
      </x:c>
    </x:row>
  </x:sheetData>
  <x:pageMargins left="0.7" right="0.7" top="0.75" bottom="0.75" header="0.3" footer="0.3"/>
  <x:drawing xmlns:r="http://schemas.openxmlformats.org/officeDocument/2006/relationships" r:id="R346a64f817ab495d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1" hidden="0" customWidth="1"/>
    <x:col min="3" max="3" width="52" hidden="0" customWidth="1"/>
  </x:cols>
  <x:sheetData>
    <x:row r="1" ht="27" customHeight="1">
      <x:c r="A1" s="15" t="str">
        <x:v>Technique</x:v>
      </x:c>
      <x:c r="B1" s="15" t="str">
        <x:v>Example formula / action</x:v>
      </x:c>
      <x:c r="C1" s="15" t="str">
        <x:v>Why it matters</x:v>
      </x:c>
    </x:row>
    <x:row r="2" ht="25" customHeight="1">
      <x:c r="A2" t="str">
        <x:v>SUMIFS</x:v>
      </x:c>
      <x:c r="B2" t="str">
        <x:v>=SUMIFS(Orders_Sample!$J$2:$J$451,Orders_Sample!$E$2:$E$451,"Auckland")</x:v>
      </x:c>
      <x:c r="C2" t="str">
        <x:v>Sum sample orders in Auckland</x:v>
      </x:c>
    </x:row>
    <x:row r="3" ht="25" customHeight="1">
      <x:c r="A3" t="str">
        <x:v>COUNTIFS</x:v>
      </x:c>
      <x:c r="B3" t="str">
        <x:v>=COUNTIFS(Orders_Sample!$E$2:$E$451,"Auckland",Orders_Sample!$I$2:$I$451,"&gt;0")</x:v>
      </x:c>
      <x:c r="C3" t="str">
        <x:v>Count sample orders with backorders</x:v>
      </x:c>
    </x:row>
    <x:row r="4" ht="25" customHeight="1">
      <x:c r="A4" t="str">
        <x:v>IF / IFERROR</x:v>
      </x:c>
      <x:c r="B4" t="str">
        <x:v>=IFERROR(IF(I2&gt;0,"Review","OK"),"Check")</x:v>
      </x:c>
      <x:c r="C4" t="str">
        <x:v>Treat blanks or errors gracefully</x:v>
      </x:c>
    </x:row>
    <x:row r="5" ht="25" customHeight="1">
      <x:c r="A5" t="str">
        <x:v>VLOOKUP</x:v>
      </x:c>
      <x:c r="B5" t="str">
        <x:v>=VLOOKUP(A2,Product_Dim!$A$2:$D$481,4,FALSE)</x:v>
      </x:c>
      <x:c r="C5" t="str">
        <x:v>Product category mapping</x:v>
      </x:c>
    </x:row>
    <x:row r="6" ht="25" customHeight="1">
      <x:c r="A6" t="str">
        <x:v>INDEX/MATCH</x:v>
      </x:c>
      <x:c r="B6" t="str">
        <x:v>=INDEX(Product_Dim!$D$2:$D$481,MATCH(A2,Product_Dim!$A$2:$A$481,0))</x:v>
      </x:c>
      <x:c r="C6" t="str">
        <x:v>Equivalent category lookup</x:v>
      </x:c>
    </x:row>
    <x:row r="7" ht="25" customHeight="1">
      <x:c r="A7" t="str">
        <x:v>PivotTable</x:v>
      </x:c>
      <x:c r="B7" t="str">
        <x:v>Insert &gt; PivotTable &gt; Product_Summary</x:v>
      </x:c>
      <x:c r="C7" t="str">
        <x:v>Add Category to rows and SalesNZD to values</x:v>
      </x:c>
    </x:row>
    <x:row r="8" ht="25" customHeight="1">
      <x:c r="A8" t="str">
        <x:v>PivotChart</x:v>
      </x:c>
      <x:c r="B8" t="str">
        <x:v>PivotTable Analyze &gt; PivotChart</x:v>
      </x:c>
      <x:c r="C8" t="str">
        <x:v>Create dynamic category bar chart</x:v>
      </x:c>
    </x:row>
    <x:row r="9" ht="25" customHeight="1">
      <x:c r="A9" t="str">
        <x:v>Slicer</x:v>
      </x:c>
      <x:c r="B9" t="str">
        <x:v>PivotTable Analyze &gt; Insert Slicer &gt; Category</x:v>
      </x:c>
      <x:c r="C9" t="str">
        <x:v>Slicer only appears after selecting a PivotTable</x:v>
      </x:c>
    </x:row>
    <x:row r="10" ht="25" customHeight="1">
      <x:c r="A10" t="str">
        <x:v>Power Query</x:v>
      </x:c>
      <x:c r="B10" t="str">
        <x:v>Data &gt; Get Data &gt; From Text/CSV &gt; data/raw/Orders.csv</x:v>
      </x:c>
      <x:c r="C10" t="str">
        <x:v>Trim status, replace errors, type dates</x:v>
      </x:c>
    </x:row>
    <x:row r="11" ht="25" customHeight="1">
      <x:c r="A11" t="str">
        <x:v>Conditional format</x:v>
      </x:c>
      <x:c r="B11" t="str">
        <x:v>Home &gt; Conditional Formatting &gt; Highlight Cell Rules</x:v>
      </x:c>
      <x:c r="C11" t="str">
        <x:v>Flag stockouts or margin issues</x:v>
      </x:c>
    </x:row>
    <x:row r="12" ht="25" customHeight="1">
      <x:c r="A12" t="str">
        <x:v>Data validation</x:v>
      </x:c>
      <x:c r="B12" t="str">
        <x:v>Data &gt; Data Validation &gt; List &gt; values</x:v>
      </x:c>
      <x:c r="C12" t="str">
        <x:v>Control selected warehouse IDs</x:v>
      </x:c>
    </x:row>
    <x:row r="13" ht="25" customHeight="1">
      <x:c r="A13" t="str">
        <x:v>Target lookup</x:v>
      </x:c>
      <x:c r="B13" t="str">
        <x:v>=SUMIFS(Sales_Targets!$C$2:$C$121,Sales_Targets!$A$2:$A$121,A2,Sales_Targets!$B$2:$B$121,B2)</x:v>
      </x:c>
      <x:c r="C13" t="str">
        <x:v>Month and region target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27" customHeight="1">
      <x:c r="A1" s="15" t="str">
        <x:v>WAREHOUSE COMPARISON</x:v>
      </x:c>
      <x:c r="B1" s="15" t="str">
        <x:v>WarehouseID</x:v>
      </x:c>
      <x:c r="C1" s="15" t="str">
        <x:v>UnitsPerHour</x:v>
      </x:c>
      <x:c r="D1" s="15" t="str">
        <x:v>Stock Accuracy</x:v>
      </x:c>
    </x:row>
    <x:row r="3">
      <x:c r="A3" t="str">
        <x:v>WH01</x:v>
      </x:c>
      <x:c r="B3" s="6" t="str">
        <x:v>WH03</x:v>
      </x:c>
      <x:c r="C3" s="6" t="n">
        <x:f>IFERROR(INDEX(Warehouse_Summary!$E$2:$E$6,MATCH(B3,Warehouse_Summary!$A$2:$A$6,0)),0)</x:f>
        <x:v>22.01</x:v>
      </x:c>
      <x:c r="D3" s="30" t="n">
        <x:f>IFERROR(INDEX(Warehouse_Summary!$F$2:$F$6,MATCH(B3,Warehouse_Summary!$A$2:$A$6,0)),0)</x:f>
        <x:v>91.03</x:v>
      </x:c>
    </x:row>
    <x:row r="4">
      <x:c r="A4" t="str">
        <x:v>WH02</x:v>
      </x:c>
    </x:row>
    <x:row r="5">
      <x:c r="A5" t="str">
        <x:v>WH03</x:v>
      </x:c>
    </x:row>
    <x:row r="6">
      <x:c r="A6" t="str">
        <x:v>WH04</x:v>
      </x:c>
    </x:row>
    <x:row r="7">
      <x:c r="A7" t="str">
        <x:v>WH05</x:v>
      </x:c>
    </x:row>
  </x:sheetData>
  <x:dataValidations count="1">
    <x:dataValidation type="list" sqref="B3">
      <x:formula1>"WH01,WH02,WH03,WH04,WH05"</x:formula1>
    </x:dataValidation>
  </x:dataValidations>
  <x:pageMargins left="0.7" right="0.7" top="0.75" bottom="0.75" header="0.3" footer="0.3"/>
</x:worksheet>
</file>